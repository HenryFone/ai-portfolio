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概览" sheetId="1" state="visible" r:id="rId1"/>
    <sheet xmlns:r="http://schemas.openxmlformats.org/officeDocument/2006/relationships" name="数据汇总" sheetId="2" state="visible" r:id="rId2"/>
    <sheet xmlns:r="http://schemas.openxmlformats.org/officeDocument/2006/relationships" name="统计分析" sheetId="3" state="visible" r:id="rId3"/>
    <sheet xmlns:r="http://schemas.openxmlformats.org/officeDocument/2006/relationships" name="决策建议" sheetId="4" state="visible" r:id="rId4"/>
  </sheets>
  <definedNames>
    <definedName name="_xlnm._FilterDatabase" localSheetId="1" hidden="1">'数据汇总'!$A$10:$H$31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&quot;pp&quot;"/>
    <numFmt numFmtId="166" formatCode="0.0"/>
    <numFmt numFmtId="167" formatCode="0.0000"/>
    <numFmt numFmtId="168" formatCode="0.000000"/>
    <numFmt numFmtId="169" formatCode="¥#,##0"/>
  </numFmts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b val="1"/>
      <color rgb="FF1A1A1A"/>
      <sz val="10.5"/>
    </font>
    <font>
      <name val="微软雅黑"/>
      <color rgb="FF1A1A1A"/>
      <sz val="10.5"/>
    </font>
    <font>
      <name val="微软雅黑"/>
      <b val="1"/>
      <color rgb="FFFFFFFF"/>
      <sz val="11"/>
    </font>
    <font>
      <name val="微软雅黑"/>
      <b val="1"/>
      <color rgb="FF003366"/>
      <sz val="12"/>
    </font>
    <font>
      <name val="微软雅黑"/>
      <i val="1"/>
      <color rgb="FF767676"/>
      <sz val="9.5"/>
    </font>
    <font>
      <name val="微软雅黑"/>
      <b val="1"/>
      <color rgb="FF1A1A1A"/>
      <sz val="11"/>
    </font>
  </fonts>
  <fills count="7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DCE6F5"/>
      </patternFill>
    </fill>
    <fill>
      <patternFill patternType="solid">
        <fgColor rgb="FFFFF7E6"/>
      </patternFill>
    </fill>
    <fill>
      <patternFill patternType="solid">
        <fgColor rgb="FFEAF0F9"/>
      </patternFill>
    </fill>
    <fill>
      <patternFill patternType="solid">
        <fgColor rgb="FFF0F4FA"/>
      </patternFill>
    </fill>
  </fills>
  <borders count="6">
    <border>
      <left/>
      <right/>
      <top/>
      <bottom/>
      <diagonal/>
    </border>
    <border>
      <left style="thin">
        <color rgb="FFAEBFD6"/>
      </left>
      <right style="thin">
        <color rgb="FFAEBFD6"/>
      </right>
      <top style="thin">
        <color rgb="FFAEBFD6"/>
      </top>
      <bottom style="thin">
        <color rgb="FFAEBFD6"/>
      </bottom>
    </border>
    <border>
      <left/>
      <right/>
      <top style="thin">
        <color rgb="FFAEBFD6"/>
      </top>
      <bottom/>
      <diagonal/>
    </border>
    <border>
      <left/>
      <right style="thin">
        <color rgb="FFAEBFD6"/>
      </right>
      <top style="thin">
        <color rgb="FFAEBFD6"/>
      </top>
      <bottom/>
      <diagonal/>
    </border>
    <border>
      <left/>
      <right/>
      <top style="thin">
        <color rgb="FFAEBFD6"/>
      </top>
      <bottom style="thin">
        <color rgb="FFAEBFD6"/>
      </bottom>
      <diagonal/>
    </border>
    <border>
      <left/>
      <right style="thin">
        <color rgb="FFAEBFD6"/>
      </right>
      <top style="thin">
        <color rgb="FFAEBFD6"/>
      </top>
      <bottom style="thin">
        <color rgb="FFAEBFD6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0" fontId="7" fillId="0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9" fontId="2" fillId="4" borderId="1" applyAlignment="1" pivotButton="0" quotePrefix="0" xfId="0">
      <alignment horizontal="center" vertical="center"/>
    </xf>
    <xf numFmtId="169" fontId="2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9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FFC00000"/>
        <sz val="10.5"/>
      </font>
    </dxf>
    <dxf>
      <font>
        <b val="1"/>
        <color rgb="FF1E7145"/>
        <sz val="10.5"/>
      </font>
    </dxf>
    <dxf>
      <font>
        <b val="1"/>
        <color rgb="FF595959"/>
        <sz val="10.5"/>
      </font>
      <fill>
        <patternFill patternType="solid">
          <fgColor rgb="FFE7E6E6"/>
          <bgColor rgb="FFE7E6E6"/>
        </patternFill>
      </fill>
    </dxf>
    <dxf>
      <font>
        <b val="1"/>
        <color rgb="FF1F3864"/>
        <sz val="10.5"/>
      </font>
      <fill>
        <patternFill patternType="solid">
          <fgColor rgb="FFD9E2F3"/>
          <bgColor rgb="FFD9E2F3"/>
        </patternFill>
      </fill>
    </dxf>
    <dxf>
      <font>
        <b val="1"/>
        <color rgb="FF9C6500"/>
        <sz val="10.5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两组每日注册转化率趋势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'数据汇总'!$A$11:$A$31</f>
            </numRef>
          </cat>
          <val>
            <numRef>
              <f>'数据汇总'!$D$11:$D$31</f>
            </numRef>
          </val>
        </ser>
        <ser>
          <idx val="1"/>
          <order val="1"/>
          <tx>
            <strRef>
              <f>'数据汇总'!G10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'数据汇总'!$A$11:$A$31</f>
            </numRef>
          </cat>
          <val>
            <numRef>
              <f>'数据汇总'!$G$11:$G$31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转化率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630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3366"/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26" customWidth="1" min="4" max="4"/>
  </cols>
  <sheetData>
    <row r="1" ht="32" customHeight="1">
      <c r="A1" s="1" t="inlineStr">
        <is>
          <t>A/B 测试实验概览</t>
        </is>
      </c>
      <c r="B1" s="2" t="n"/>
      <c r="C1" s="2" t="n"/>
      <c r="D1" s="2" t="n"/>
    </row>
    <row r="2" ht="8" customHeight="1"/>
    <row r="3" ht="22" customHeight="1">
      <c r="A3" s="3" t="inlineStr">
        <is>
          <t>实验编号</t>
        </is>
      </c>
      <c r="B3" s="4" t="inlineStr">
        <is>
          <t>EXP-2026-Q3-014</t>
        </is>
      </c>
      <c r="C3" s="4" t="n"/>
      <c r="D3" s="4" t="n"/>
    </row>
    <row r="4" ht="22" customHeight="1">
      <c r="A4" s="3" t="inlineStr">
        <is>
          <t>实验名称</t>
        </is>
      </c>
      <c r="B4" s="4" t="inlineStr">
        <is>
          <t>注册表单精简：7 项 → 3 项</t>
        </is>
      </c>
      <c r="C4" s="4" t="n"/>
      <c r="D4" s="4" t="n"/>
    </row>
    <row r="5" ht="52" customHeight="1">
      <c r="A5" s="3" t="inlineStr">
        <is>
          <t>假设</t>
        </is>
      </c>
      <c r="B5" s="5" t="inlineStr">
        <is>
          <t>将注册表单的 7 项必填精简为 3 项必填（手机号 + 短信验证码 + 密码），可降低填写摩擦与放弃率，从而提升注册转化率，同时不损害新增用户质量。</t>
        </is>
      </c>
      <c r="C5" s="5" t="n"/>
      <c r="D5" s="5" t="n"/>
    </row>
    <row r="6" ht="22" customHeight="1">
      <c r="A6" s="3" t="inlineStr">
        <is>
          <t>主要指标</t>
        </is>
      </c>
      <c r="B6" s="4" t="inlineStr">
        <is>
          <t>注册转化率 = 注册成功数 / 注册页访客数</t>
        </is>
      </c>
      <c r="C6" s="4" t="n"/>
      <c r="D6" s="4" t="n"/>
    </row>
    <row r="7" ht="52" customHeight="1">
      <c r="A7" s="3" t="inlineStr">
        <is>
          <t>次要指标</t>
        </is>
      </c>
      <c r="B7" s="5" t="inlineStr">
        <is>
          <t>平均注册完成时长、7 日激活率、次日留存率</t>
        </is>
      </c>
      <c r="C7" s="5" t="n"/>
      <c r="D7" s="5" t="n"/>
    </row>
    <row r="8" ht="22" customHeight="1">
      <c r="A8" s="3" t="inlineStr">
        <is>
          <t>实验开始日</t>
        </is>
      </c>
      <c r="B8" s="6" t="n">
        <v>46266</v>
      </c>
      <c r="C8" s="4" t="n"/>
      <c r="D8" s="4" t="n"/>
    </row>
    <row r="9" ht="22" customHeight="1">
      <c r="A9" s="3" t="inlineStr">
        <is>
          <t>实验结束日</t>
        </is>
      </c>
      <c r="B9" s="6" t="n">
        <v>46286</v>
      </c>
      <c r="C9" s="4" t="n"/>
      <c r="D9" s="4" t="n"/>
    </row>
    <row r="10" ht="22" customHeight="1">
      <c r="A10" s="3" t="inlineStr">
        <is>
          <t>实验时长（天）</t>
        </is>
      </c>
      <c r="B10" s="7">
        <f>B9-B8+1</f>
        <v>21.0</v>
      </c>
      <c r="C10" s="4" t="n"/>
      <c r="D10" s="4" t="n"/>
    </row>
    <row r="11" ht="22" customHeight="1">
      <c r="A11" s="3" t="inlineStr">
        <is>
          <t>流量分配</t>
        </is>
      </c>
      <c r="B11" s="4" t="inlineStr">
        <is>
          <t>50/50（对照组 A : 实验组 B）</t>
        </is>
      </c>
      <c r="C11" s="4" t="n"/>
      <c r="D11" s="4" t="n"/>
    </row>
    <row r="12" ht="22" customHeight="1">
      <c r="A12" s="3" t="inlineStr">
        <is>
          <t>MDE（相对提升）</t>
        </is>
      </c>
      <c r="B12" s="8" t="n">
        <v>0.08</v>
      </c>
      <c r="C12" s="4" t="n"/>
      <c r="D12" s="4" t="n"/>
    </row>
    <row r="13" ht="8" customHeight="1"/>
    <row r="14" ht="78" customHeight="1">
      <c r="A14" s="3" t="inlineStr">
        <is>
          <t>关键结论</t>
        </is>
      </c>
      <c r="B14" s="9" t="str">
        <f>"实验组注册转化率 "&amp;TEXT(数据汇总!C4,"0.00%")&amp;"，对照组 "&amp;TEXT(数据汇总!B4,"0.00%")&amp;"；相对提升 "&amp;IF(统计分析!B5&gt;=0,"+","")&amp;TEXT(统计分析!B5,"0.00%")&amp;"，绝对提升 "&amp;IF(统计分析!B4&gt;=0,"+","")&amp;TEXT(统计分析!B4,"0.00")&amp;" pp；95% 置信区间 ["&amp;TEXT(统计分析!B11,"0.00")&amp;", "&amp;TEXT(统计分析!B12,"0.00")&amp;"] pp；p 值 "&amp;TEXT(统计分析!B9,"0.000000")&amp;"，"&amp;统计分析!B10&amp;"。上线建议："&amp;决策建议!B2&amp;"。"</f>
        <v>实验组注册转化率 7.80%，对照组 6.96%；相对提升 +12.06%，绝对提升 +0.84 pp；95% 置信区间 [0.36, 1.32] pp；p 值 0.000601，显著（p &lt; 0.001）。上线建议：全量上线。</v>
      </c>
      <c r="C14" s="9" t="n"/>
      <c r="D14" s="9" t="n"/>
    </row>
  </sheetData>
  <mergeCells count="4">
    <mergeCell ref="A1:D1"/>
    <mergeCell ref="B7:D7"/>
    <mergeCell ref="B5:D5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3366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4" customWidth="1" min="4" max="4"/>
    <col width="13" customWidth="1" min="5" max="5"/>
    <col width="14" customWidth="1" min="6" max="6"/>
    <col width="14" customWidth="1" min="7" max="7"/>
    <col width="15" customWidth="1" min="8" max="8"/>
  </cols>
  <sheetData>
    <row r="1" ht="26" customHeight="1">
      <c r="A1" s="10" t="inlineStr">
        <is>
          <t>指标</t>
        </is>
      </c>
      <c r="B1" s="10" t="inlineStr">
        <is>
          <t>对照组 A</t>
        </is>
      </c>
      <c r="C1" s="10" t="inlineStr">
        <is>
          <t>实验组 B</t>
        </is>
      </c>
      <c r="D1" s="10" t="inlineStr">
        <is>
          <t>差异（B − A）</t>
        </is>
      </c>
      <c r="E1" s="10" t="inlineStr">
        <is>
          <t>变化率</t>
        </is>
      </c>
    </row>
    <row r="2">
      <c r="A2" s="11" t="inlineStr">
        <is>
          <t>访客数</t>
        </is>
      </c>
      <c r="B2" s="12">
        <f>SUM(B11:B31)</f>
        <v>22902.0</v>
      </c>
      <c r="C2" s="12">
        <f>SUM(E11:E31)</f>
        <v>22797.0</v>
      </c>
      <c r="D2" s="12">
        <f>IF(OR(B2="",C2=""),"",C2-B2)</f>
        <v>-105.0</v>
      </c>
      <c r="E2" s="13">
        <f>IF(OR(B2="",B2=0,C2=""),"",(C2-B2)/B2)</f>
        <v>-0.0045847524233691385</v>
      </c>
    </row>
    <row r="3">
      <c r="A3" s="14" t="inlineStr">
        <is>
          <t>注册数</t>
        </is>
      </c>
      <c r="B3" s="15">
        <f>SUM(C11:C31)</f>
        <v>1594.0</v>
      </c>
      <c r="C3" s="15">
        <f>SUM(F11:F31)</f>
        <v>1778.0</v>
      </c>
      <c r="D3" s="15">
        <f>IF(OR(B3="",C3=""),"",C3-B3)</f>
        <v>184.0</v>
      </c>
      <c r="E3" s="16">
        <f>IF(OR(B3="",B3=0,C3=""),"",(C3-B3)/B3)</f>
        <v>0.11543287327478043</v>
      </c>
    </row>
    <row r="4">
      <c r="A4" s="11" t="inlineStr">
        <is>
          <t>注册转化率</t>
        </is>
      </c>
      <c r="B4" s="13">
        <f>IF(OR(B2="",B2=0),"",B3/B2)</f>
        <v>0.06960090821762291</v>
      </c>
      <c r="C4" s="13">
        <f>IF(OR(C2="",C2=0),"",C3/C2)</f>
        <v>0.07799271834013248</v>
      </c>
      <c r="D4" s="17">
        <f>IF(OR(B4="",C4=""),"",(C4-B4)*100)</f>
        <v>0.8391810122509571</v>
      </c>
      <c r="E4" s="13">
        <f>IF(OR(B4="",B4=0,C4=""),"",(C4-B4)/B4)</f>
        <v>0.12057041118300767</v>
      </c>
    </row>
    <row r="5">
      <c r="A5" s="14" t="inlineStr">
        <is>
          <t>平均注册完成时长（分钟）</t>
        </is>
      </c>
      <c r="B5" s="18" t="n">
        <v>4.6</v>
      </c>
      <c r="C5" s="18" t="n">
        <v>2.9</v>
      </c>
      <c r="D5" s="18">
        <f>IF(OR(B5="",C5=""),"",C5-B5)</f>
        <v>-1.6999999999999997</v>
      </c>
      <c r="E5" s="16">
        <f>IF(OR(B5="",B5=0,C5=""),"",(C5-B5)/B5)</f>
        <v>-0.3695652173913043</v>
      </c>
    </row>
    <row r="6">
      <c r="A6" s="11" t="inlineStr">
        <is>
          <t>7 日激活率</t>
        </is>
      </c>
      <c r="B6" s="13" t="n">
        <v>0.412</v>
      </c>
      <c r="C6" s="13" t="n">
        <v>0.425</v>
      </c>
      <c r="D6" s="17">
        <f>IF(OR(B6="",C6=""),"",(C6-B6)*100)</f>
        <v>1.3000000000000012</v>
      </c>
      <c r="E6" s="13">
        <f>IF(OR(B6="",B6=0,C6=""),"",(C6-B6)/B6)</f>
        <v>0.031553398058252455</v>
      </c>
    </row>
    <row r="7">
      <c r="A7" s="14" t="inlineStr">
        <is>
          <t>次日留存率</t>
        </is>
      </c>
      <c r="B7" s="16" t="n">
        <v>0.586</v>
      </c>
      <c r="C7" s="16" t="n">
        <v>0.591</v>
      </c>
      <c r="D7" s="19">
        <f>IF(OR(B7="",C7=""),"",(C7-B7)*100)</f>
        <v>0.5000000000000004</v>
      </c>
      <c r="E7" s="16">
        <f>IF(OR(B7="",B7=0,C7=""),"",(C7-B7)/B7)</f>
        <v>0.008532423208191134</v>
      </c>
    </row>
    <row r="8" ht="8" customHeight="1"/>
    <row r="9" ht="24" customHeight="1">
      <c r="A9" s="20" t="inlineStr">
        <is>
          <t>每日明细（2026-09-01 ~ 2026-09-21）</t>
        </is>
      </c>
      <c r="B9" s="20" t="n"/>
      <c r="C9" s="20" t="n"/>
      <c r="D9" s="20" t="n"/>
      <c r="E9" s="20" t="n"/>
      <c r="F9" s="20" t="n"/>
      <c r="G9" s="20" t="n"/>
      <c r="H9" s="20" t="n"/>
    </row>
    <row r="10" ht="30" customHeight="1">
      <c r="A10" s="10" t="inlineStr">
        <is>
          <t>日期</t>
        </is>
      </c>
      <c r="B10" s="10" t="inlineStr">
        <is>
          <t>对照组访客</t>
        </is>
      </c>
      <c r="C10" s="10" t="inlineStr">
        <is>
          <t>对照组注册</t>
        </is>
      </c>
      <c r="D10" s="10" t="inlineStr">
        <is>
          <t>对照组转化率</t>
        </is>
      </c>
      <c r="E10" s="10" t="inlineStr">
        <is>
          <t>实验组访客</t>
        </is>
      </c>
      <c r="F10" s="10" t="inlineStr">
        <is>
          <t>实验组注册</t>
        </is>
      </c>
      <c r="G10" s="10" t="inlineStr">
        <is>
          <t>实验组转化率</t>
        </is>
      </c>
      <c r="H10" s="10" t="inlineStr">
        <is>
          <t>转化率差（pp）</t>
        </is>
      </c>
    </row>
    <row r="11">
      <c r="A11" s="21" t="n">
        <v>46266</v>
      </c>
      <c r="B11" s="12" t="n">
        <v>1121</v>
      </c>
      <c r="C11" s="12" t="n">
        <v>77</v>
      </c>
      <c r="D11" s="13">
        <f>IF(OR(B11="",B11=0),"",C11/B11)</f>
        <v>0.06868867082961641</v>
      </c>
      <c r="E11" s="12" t="n">
        <v>1074</v>
      </c>
      <c r="F11" s="12" t="n">
        <v>86</v>
      </c>
      <c r="G11" s="13">
        <f>IF(OR(E11="",E11=0),"",F11/E11)</f>
        <v>0.08007448789571694</v>
      </c>
      <c r="H11" s="17">
        <f>IF(OR(D11="",G11=""),"",(G11-D11)*100)</f>
        <v>1.1385817066100534</v>
      </c>
    </row>
    <row r="12">
      <c r="A12" s="22" t="n">
        <v>46267</v>
      </c>
      <c r="B12" s="15" t="n">
        <v>1100</v>
      </c>
      <c r="C12" s="15" t="n">
        <v>76</v>
      </c>
      <c r="D12" s="16">
        <f>IF(OR(B12="",B12=0),"",C12/B12)</f>
        <v>0.06909090909090909</v>
      </c>
      <c r="E12" s="15" t="n">
        <v>1162</v>
      </c>
      <c r="F12" s="15" t="n">
        <v>92</v>
      </c>
      <c r="G12" s="16">
        <f>IF(OR(E12="",E12=0),"",F12/E12)</f>
        <v>0.07917383820998279</v>
      </c>
      <c r="H12" s="19">
        <f>IF(OR(D12="",G12=""),"",(G12-D12)*100)</f>
        <v>1.00829291190737</v>
      </c>
    </row>
    <row r="13">
      <c r="A13" s="21" t="n">
        <v>46268</v>
      </c>
      <c r="B13" s="12" t="n">
        <v>1143</v>
      </c>
      <c r="C13" s="12" t="n">
        <v>79</v>
      </c>
      <c r="D13" s="13">
        <f>IF(OR(B13="",B13=0),"",C13/B13)</f>
        <v>0.06911636045494313</v>
      </c>
      <c r="E13" s="12" t="n">
        <v>1083</v>
      </c>
      <c r="F13" s="12" t="n">
        <v>83</v>
      </c>
      <c r="G13" s="13">
        <f>IF(OR(E13="",E13=0),"",F13/E13)</f>
        <v>0.07663896583564174</v>
      </c>
      <c r="H13" s="17">
        <f>IF(OR(D13="",G13=""),"",(G13-D13)*100)</f>
        <v>0.7522605380698613</v>
      </c>
    </row>
    <row r="14">
      <c r="A14" s="22" t="n">
        <v>46269</v>
      </c>
      <c r="B14" s="15" t="n">
        <v>1077</v>
      </c>
      <c r="C14" s="15" t="n">
        <v>78</v>
      </c>
      <c r="D14" s="16">
        <f>IF(OR(B14="",B14=0),"",C14/B14)</f>
        <v>0.07242339832869081</v>
      </c>
      <c r="E14" s="15" t="n">
        <v>1168</v>
      </c>
      <c r="F14" s="15" t="n">
        <v>89</v>
      </c>
      <c r="G14" s="16">
        <f>IF(OR(E14="",E14=0),"",F14/E14)</f>
        <v>0.0761986301369863</v>
      </c>
      <c r="H14" s="19">
        <f>IF(OR(D14="",G14=""),"",(G14-D14)*100)</f>
        <v>0.377523180829549</v>
      </c>
    </row>
    <row r="15">
      <c r="A15" s="21" t="n">
        <v>46270</v>
      </c>
      <c r="B15" s="12" t="n">
        <v>874</v>
      </c>
      <c r="C15" s="12" t="n">
        <v>62</v>
      </c>
      <c r="D15" s="13">
        <f>IF(OR(B15="",B15=0),"",C15/B15)</f>
        <v>0.07093821510297482</v>
      </c>
      <c r="E15" s="12" t="n">
        <v>988</v>
      </c>
      <c r="F15" s="12" t="n">
        <v>77</v>
      </c>
      <c r="G15" s="13">
        <f>IF(OR(E15="",E15=0),"",F15/E15)</f>
        <v>0.07793522267206478</v>
      </c>
      <c r="H15" s="17">
        <f>IF(OR(D15="",G15=""),"",(G15-D15)*100)</f>
        <v>0.6997007569089955</v>
      </c>
    </row>
    <row r="16">
      <c r="A16" s="22" t="n">
        <v>46271</v>
      </c>
      <c r="B16" s="15" t="n">
        <v>1003</v>
      </c>
      <c r="C16" s="15" t="n">
        <v>72</v>
      </c>
      <c r="D16" s="16">
        <f>IF(OR(B16="",B16=0),"",C16/B16)</f>
        <v>0.07178464606181456</v>
      </c>
      <c r="E16" s="15" t="n">
        <v>961</v>
      </c>
      <c r="F16" s="15" t="n">
        <v>77</v>
      </c>
      <c r="G16" s="16">
        <f>IF(OR(E16="",E16=0),"",F16/E16)</f>
        <v>0.08012486992715921</v>
      </c>
      <c r="H16" s="19">
        <f>IF(OR(D16="",G16=""),"",(G16-D16)*100)</f>
        <v>0.8340223865344651</v>
      </c>
    </row>
    <row r="17">
      <c r="A17" s="21" t="n">
        <v>46272</v>
      </c>
      <c r="B17" s="12" t="n">
        <v>1178</v>
      </c>
      <c r="C17" s="12" t="n">
        <v>83</v>
      </c>
      <c r="D17" s="13">
        <f>IF(OR(B17="",B17=0),"",C17/B17)</f>
        <v>0.07045840407470289</v>
      </c>
      <c r="E17" s="12" t="n">
        <v>1202</v>
      </c>
      <c r="F17" s="12" t="n">
        <v>96</v>
      </c>
      <c r="G17" s="13">
        <f>IF(OR(E17="",E17=0),"",F17/E17)</f>
        <v>0.07986688851913477</v>
      </c>
      <c r="H17" s="17">
        <f>IF(OR(D17="",G17=""),"",(G17-D17)*100)</f>
        <v>0.9408484444431888</v>
      </c>
    </row>
    <row r="18">
      <c r="A18" s="22" t="n">
        <v>46273</v>
      </c>
      <c r="B18" s="15" t="n">
        <v>1227</v>
      </c>
      <c r="C18" s="15" t="n">
        <v>83</v>
      </c>
      <c r="D18" s="16">
        <f>IF(OR(B18="",B18=0),"",C18/B18)</f>
        <v>0.06764466177669112</v>
      </c>
      <c r="E18" s="15" t="n">
        <v>1097</v>
      </c>
      <c r="F18" s="15" t="n">
        <v>88</v>
      </c>
      <c r="G18" s="16">
        <f>IF(OR(E18="",E18=0),"",F18/E18)</f>
        <v>0.08021877848678213</v>
      </c>
      <c r="H18" s="19">
        <f>IF(OR(D18="",G18=""),"",(G18-D18)*100)</f>
        <v>1.257411671009101</v>
      </c>
    </row>
    <row r="19">
      <c r="A19" s="21" t="n">
        <v>46274</v>
      </c>
      <c r="B19" s="12" t="n">
        <v>1171</v>
      </c>
      <c r="C19" s="12" t="n">
        <v>81</v>
      </c>
      <c r="D19" s="13">
        <f>IF(OR(B19="",B19=0),"",C19/B19)</f>
        <v>0.06917164816396243</v>
      </c>
      <c r="E19" s="12" t="n">
        <v>1079</v>
      </c>
      <c r="F19" s="12" t="n">
        <v>86</v>
      </c>
      <c r="G19" s="13">
        <f>IF(OR(E19="",E19=0),"",F19/E19)</f>
        <v>0.07970342910101946</v>
      </c>
      <c r="H19" s="17">
        <f>IF(OR(D19="",G19=""),"",(G19-D19)*100)</f>
        <v>1.0531780937057034</v>
      </c>
    </row>
    <row r="20">
      <c r="A20" s="22" t="n">
        <v>46275</v>
      </c>
      <c r="B20" s="15" t="n">
        <v>1168</v>
      </c>
      <c r="C20" s="15" t="n">
        <v>82</v>
      </c>
      <c r="D20" s="16">
        <f>IF(OR(B20="",B20=0),"",C20/B20)</f>
        <v>0.0702054794520548</v>
      </c>
      <c r="E20" s="15" t="n">
        <v>1208</v>
      </c>
      <c r="F20" s="15" t="n">
        <v>94</v>
      </c>
      <c r="G20" s="16">
        <f>IF(OR(E20="",E20=0),"",F20/E20)</f>
        <v>0.07781456953642384</v>
      </c>
      <c r="H20" s="19">
        <f>IF(OR(D20="",G20=""),"",(G20-D20)*100)</f>
        <v>0.7609090084369039</v>
      </c>
    </row>
    <row r="21">
      <c r="A21" s="21" t="n">
        <v>46276</v>
      </c>
      <c r="B21" s="12" t="n">
        <v>1106</v>
      </c>
      <c r="C21" s="12" t="n">
        <v>78</v>
      </c>
      <c r="D21" s="13">
        <f>IF(OR(B21="",B21=0),"",C21/B21)</f>
        <v>0.0705244122965642</v>
      </c>
      <c r="E21" s="12" t="n">
        <v>1224</v>
      </c>
      <c r="F21" s="12" t="n">
        <v>97</v>
      </c>
      <c r="G21" s="13">
        <f>IF(OR(E21="",E21=0),"",F21/E21)</f>
        <v>0.07924836601307189</v>
      </c>
      <c r="H21" s="17">
        <f>IF(OR(D21="",G21=""),"",(G21-D21)*100)</f>
        <v>0.8723953716507693</v>
      </c>
    </row>
    <row r="22">
      <c r="A22" s="22" t="n">
        <v>46277</v>
      </c>
      <c r="B22" s="15" t="n">
        <v>1010</v>
      </c>
      <c r="C22" s="15" t="n">
        <v>71</v>
      </c>
      <c r="D22" s="16">
        <f>IF(OR(B22="",B22=0),"",C22/B22)</f>
        <v>0.0702970297029703</v>
      </c>
      <c r="E22" s="15" t="n">
        <v>902</v>
      </c>
      <c r="F22" s="15" t="n">
        <v>70</v>
      </c>
      <c r="G22" s="16">
        <f>IF(OR(E22="",E22=0),"",F22/E22)</f>
        <v>0.07760532150776053</v>
      </c>
      <c r="H22" s="19">
        <f>IF(OR(D22="",G22=""),"",(G22-D22)*100)</f>
        <v>0.7308291804790229</v>
      </c>
    </row>
    <row r="23">
      <c r="A23" s="21" t="n">
        <v>46278</v>
      </c>
      <c r="B23" s="12" t="n">
        <v>948</v>
      </c>
      <c r="C23" s="12" t="n">
        <v>65</v>
      </c>
      <c r="D23" s="13">
        <f>IF(OR(B23="",B23=0),"",C23/B23)</f>
        <v>0.06856540084388185</v>
      </c>
      <c r="E23" s="12" t="n">
        <v>882</v>
      </c>
      <c r="F23" s="12" t="n">
        <v>71</v>
      </c>
      <c r="G23" s="13">
        <f>IF(OR(E23="",E23=0),"",F23/E23)</f>
        <v>0.08049886621315193</v>
      </c>
      <c r="H23" s="17">
        <f>IF(OR(D23="",G23=""),"",(G23-D23)*100)</f>
        <v>1.1933465369270078</v>
      </c>
    </row>
    <row r="24">
      <c r="A24" s="22" t="n">
        <v>46279</v>
      </c>
      <c r="B24" s="15" t="n">
        <v>1070</v>
      </c>
      <c r="C24" s="15" t="n">
        <v>77</v>
      </c>
      <c r="D24" s="16">
        <f>IF(OR(B24="",B24=0),"",C24/B24)</f>
        <v>0.07196261682242991</v>
      </c>
      <c r="E24" s="15" t="n">
        <v>1178</v>
      </c>
      <c r="F24" s="15" t="n">
        <v>90</v>
      </c>
      <c r="G24" s="16">
        <f>IF(OR(E24="",E24=0),"",F24/E24)</f>
        <v>0.07640067911714771</v>
      </c>
      <c r="H24" s="19">
        <f>IF(OR(D24="",G24=""),"",(G24-D24)*100)</f>
        <v>0.44380622947177983</v>
      </c>
    </row>
    <row r="25">
      <c r="A25" s="21" t="n">
        <v>46280</v>
      </c>
      <c r="B25" s="12" t="n">
        <v>1184</v>
      </c>
      <c r="C25" s="12" t="n">
        <v>80</v>
      </c>
      <c r="D25" s="13">
        <f>IF(OR(B25="",B25=0),"",C25/B25)</f>
        <v>0.06756756756756757</v>
      </c>
      <c r="E25" s="12" t="n">
        <v>1226</v>
      </c>
      <c r="F25" s="12" t="n">
        <v>96</v>
      </c>
      <c r="G25" s="13">
        <f>IF(OR(E25="",E25=0),"",F25/E25)</f>
        <v>0.07830342577487764</v>
      </c>
      <c r="H25" s="17">
        <f>IF(OR(D25="",G25=""),"",(G25-D25)*100)</f>
        <v>1.0735858207310072</v>
      </c>
    </row>
    <row r="26">
      <c r="A26" s="22" t="n">
        <v>46281</v>
      </c>
      <c r="B26" s="15" t="n">
        <v>1231</v>
      </c>
      <c r="C26" s="15" t="n">
        <v>85</v>
      </c>
      <c r="D26" s="16">
        <f>IF(OR(B26="",B26=0),"",C26/B26)</f>
        <v>0.06904955320877336</v>
      </c>
      <c r="E26" s="15" t="n">
        <v>1113</v>
      </c>
      <c r="F26" s="15" t="n">
        <v>84</v>
      </c>
      <c r="G26" s="16">
        <f>IF(OR(E26="",E26=0),"",F26/E26)</f>
        <v>0.07547169811320754</v>
      </c>
      <c r="H26" s="19">
        <f>IF(OR(D26="",G26=""),"",(G26-D26)*100)</f>
        <v>0.6422144904434185</v>
      </c>
    </row>
    <row r="27">
      <c r="A27" s="21" t="n">
        <v>46282</v>
      </c>
      <c r="B27" s="12" t="n">
        <v>1141</v>
      </c>
      <c r="C27" s="12" t="n">
        <v>77</v>
      </c>
      <c r="D27" s="13">
        <f>IF(OR(B27="",B27=0),"",C27/B27)</f>
        <v>0.06748466257668712</v>
      </c>
      <c r="E27" s="12" t="n">
        <v>1162</v>
      </c>
      <c r="F27" s="12" t="n">
        <v>88</v>
      </c>
      <c r="G27" s="13">
        <f>IF(OR(E27="",E27=0),"",F27/E27)</f>
        <v>0.0757314974182444</v>
      </c>
      <c r="H27" s="17">
        <f>IF(OR(D27="",G27=""),"",(G27-D27)*100)</f>
        <v>0.8246834841557291</v>
      </c>
    </row>
    <row r="28">
      <c r="A28" s="22" t="n">
        <v>46283</v>
      </c>
      <c r="B28" s="15" t="n">
        <v>1197</v>
      </c>
      <c r="C28" s="15" t="n">
        <v>82</v>
      </c>
      <c r="D28" s="16">
        <f>IF(OR(B28="",B28=0),"",C28/B28)</f>
        <v>0.06850459482038429</v>
      </c>
      <c r="E28" s="15" t="n">
        <v>1124</v>
      </c>
      <c r="F28" s="15" t="n">
        <v>87</v>
      </c>
      <c r="G28" s="16">
        <f>IF(OR(E28="",E28=0),"",F28/E28)</f>
        <v>0.07740213523131673</v>
      </c>
      <c r="H28" s="19">
        <f>IF(OR(D28="",G28=""),"",(G28-D28)*100)</f>
        <v>0.8897540410932436</v>
      </c>
    </row>
    <row r="29">
      <c r="A29" s="21" t="n">
        <v>46284</v>
      </c>
      <c r="B29" s="12" t="n">
        <v>906</v>
      </c>
      <c r="C29" s="12" t="n">
        <v>63</v>
      </c>
      <c r="D29" s="13">
        <f>IF(OR(B29="",B29=0),"",C29/B29)</f>
        <v>0.0695364238410596</v>
      </c>
      <c r="E29" s="12" t="n">
        <v>897</v>
      </c>
      <c r="F29" s="12" t="n">
        <v>68</v>
      </c>
      <c r="G29" s="13">
        <f>IF(OR(E29="",E29=0),"",F29/E29)</f>
        <v>0.0758082497212932</v>
      </c>
      <c r="H29" s="17">
        <f>IF(OR(D29="",G29=""),"",(G29-D29)*100)</f>
        <v>0.6271825880233604</v>
      </c>
    </row>
    <row r="30">
      <c r="A30" s="22" t="n">
        <v>46285</v>
      </c>
      <c r="B30" s="15" t="n">
        <v>949</v>
      </c>
      <c r="C30" s="15" t="n">
        <v>65</v>
      </c>
      <c r="D30" s="16">
        <f>IF(OR(B30="",B30=0),"",C30/B30)</f>
        <v>0.0684931506849315</v>
      </c>
      <c r="E30" s="15" t="n">
        <v>997</v>
      </c>
      <c r="F30" s="15" t="n">
        <v>77</v>
      </c>
      <c r="G30" s="16">
        <f>IF(OR(E30="",E30=0),"",F30/E30)</f>
        <v>0.07723169508525576</v>
      </c>
      <c r="H30" s="19">
        <f>IF(OR(D30="",G30=""),"",(G30-D30)*100)</f>
        <v>0.8738544400324261</v>
      </c>
    </row>
    <row r="31">
      <c r="A31" s="21" t="n">
        <v>46286</v>
      </c>
      <c r="B31" s="12" t="n">
        <v>1098</v>
      </c>
      <c r="C31" s="12" t="n">
        <v>78</v>
      </c>
      <c r="D31" s="13">
        <f>IF(OR(B31="",B31=0),"",C31/B31)</f>
        <v>0.07103825136612021</v>
      </c>
      <c r="E31" s="12" t="n">
        <v>1070</v>
      </c>
      <c r="F31" s="12" t="n">
        <v>82</v>
      </c>
      <c r="G31" s="13">
        <f>IF(OR(E31="",E31=0),"",F31/E31)</f>
        <v>0.07663551401869159</v>
      </c>
      <c r="H31" s="17">
        <f>IF(OR(D31="",G31=""),"",(G31-D31)*100)</f>
        <v>0.5597262652571378</v>
      </c>
    </row>
    <row r="32">
      <c r="A32" s="23" t="inlineStr">
        <is>
          <t>合计 / 整体</t>
        </is>
      </c>
      <c r="B32" s="24">
        <f>SUM(B11:B31)</f>
        <v>22902.0</v>
      </c>
      <c r="C32" s="24">
        <f>SUM(C11:C31)</f>
        <v>1594.0</v>
      </c>
      <c r="D32" s="25">
        <f>IF(OR(B32="",B32=0),"",C32/B32)</f>
        <v>0.06960090821762291</v>
      </c>
      <c r="E32" s="24">
        <f>SUM(E11:E31)</f>
        <v>22797.0</v>
      </c>
      <c r="F32" s="24">
        <f>SUM(F11:F31)</f>
        <v>1778.0</v>
      </c>
      <c r="G32" s="25">
        <f>IF(OR(E32="",E32=0),"",F32/E32)</f>
        <v>0.07799271834013248</v>
      </c>
      <c r="H32" s="26">
        <f>IF(OR(D32="",G32=""),"",(G32-D32)*100)</f>
        <v>0.8391810122509571</v>
      </c>
    </row>
    <row r="33" ht="34" customHeight="1">
      <c r="A33" s="27" t="inlineStr">
        <is>
          <t>注：访客数 / 注册数取自埋点日报；完成时长、7 日激活率、次日留存取自实验平台次要指标报表。色标遵循「涨=红、跌=绿」，仅表示变化方向，不代表好坏（如注册完成时长下降为利好）。</t>
        </is>
      </c>
      <c r="B33" s="27" t="n"/>
      <c r="C33" s="27" t="n"/>
      <c r="D33" s="27" t="n"/>
      <c r="E33" s="27" t="n"/>
      <c r="F33" s="27" t="n"/>
      <c r="G33" s="27" t="n"/>
      <c r="H33" s="27" t="n"/>
    </row>
  </sheetData>
  <autoFilter ref="A10:H31"/>
  <mergeCells count="2">
    <mergeCell ref="A9:H9"/>
    <mergeCell ref="A33:H33"/>
  </mergeCells>
  <conditionalFormatting sqref="D2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11:H31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>
  <sheetPr>
    <tabColor rgb="FF003366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2" customWidth="1" min="3" max="3"/>
  </cols>
  <sheetData>
    <row r="1" ht="26" customHeight="1">
      <c r="A1" s="10" t="inlineStr">
        <is>
          <t>分析项</t>
        </is>
      </c>
      <c r="B1" s="10" t="inlineStr">
        <is>
          <t>数值</t>
        </is>
      </c>
      <c r="C1" s="10" t="inlineStr">
        <is>
          <t>说明</t>
        </is>
      </c>
    </row>
    <row r="2">
      <c r="A2" s="11" t="inlineStr">
        <is>
          <t>对照组转化率</t>
        </is>
      </c>
      <c r="B2" s="28">
        <f>数据汇总!B4</f>
        <v>0.06960090821762291</v>
      </c>
      <c r="C2" s="5" t="inlineStr">
        <is>
          <t>引用「数据汇总」对照组注册转化率</t>
        </is>
      </c>
    </row>
    <row r="3">
      <c r="A3" s="14" t="inlineStr">
        <is>
          <t>实验组转化率</t>
        </is>
      </c>
      <c r="B3" s="29">
        <f>数据汇总!C4</f>
        <v>0.07799271834013248</v>
      </c>
      <c r="C3" s="30" t="inlineStr">
        <is>
          <t>引用「数据汇总」实验组注册转化率</t>
        </is>
      </c>
    </row>
    <row r="4">
      <c r="A4" s="11" t="inlineStr">
        <is>
          <t>绝对提升</t>
        </is>
      </c>
      <c r="B4" s="31">
        <f>IF(OR(B2="",B3=""),"",(B3-B2)*100)</f>
        <v>0.8391810122509571</v>
      </c>
      <c r="C4" s="5" t="inlineStr">
        <is>
          <t>实验组 − 对照组（百分点）</t>
        </is>
      </c>
    </row>
    <row r="5">
      <c r="A5" s="14" t="inlineStr">
        <is>
          <t>相对提升</t>
        </is>
      </c>
      <c r="B5" s="29">
        <f>IF(OR(B2="",B2=0,B3=""),"",(B3-B2)/B2)</f>
        <v>0.12057041118300767</v>
      </c>
      <c r="C5" s="30" t="inlineStr">
        <is>
          <t>(实验组 − 对照组) / 对照组</t>
        </is>
      </c>
    </row>
    <row r="6">
      <c r="A6" s="11" t="inlineStr">
        <is>
          <t>合并转化率（pooled）</t>
        </is>
      </c>
      <c r="B6" s="28">
        <f>IF((数据汇总!B2+数据汇总!C2)=0,"",(数据汇总!B3+数据汇总!C3)/(数据汇总!B2+数据汇总!C2))</f>
        <v>0.0737871725858334</v>
      </c>
      <c r="C6" s="5" t="inlineStr">
        <is>
          <t>两组注册数之和 / 两组访客数之和</t>
        </is>
      </c>
    </row>
    <row r="7">
      <c r="A7" s="14" t="inlineStr">
        <is>
          <t>标准误（SE）</t>
        </is>
      </c>
      <c r="B7" s="32">
        <f>IF(OR(B6="",B6=0),"",SQRT(B6*(1-B6)*(1/数据汇总!B2+1/数据汇总!C2))*100)</f>
        <v>0.24458151110612653</v>
      </c>
      <c r="C7" s="30" t="inlineStr">
        <is>
          <t>√[p(1−p)(1/nA+1/nB)]，p 为合并转化率</t>
        </is>
      </c>
    </row>
    <row r="8">
      <c r="A8" s="11" t="inlineStr">
        <is>
          <t>z 值</t>
        </is>
      </c>
      <c r="B8" s="33">
        <f>IF(OR(B7="",B7=0),"",B4/B7)</f>
        <v>3.4310893266450853</v>
      </c>
      <c r="C8" s="5" t="inlineStr">
        <is>
          <t>绝对提升 / 标准误（两比例 z 检验）</t>
        </is>
      </c>
    </row>
    <row r="9">
      <c r="A9" s="14" t="inlineStr">
        <is>
          <t>p 值（双尾）</t>
        </is>
      </c>
      <c r="B9" s="34">
        <f>IF(B8="","",2*(1-NORMSDIST(ABS(B8))))</f>
        <v>0.0006011626080923982</v>
      </c>
      <c r="C9" s="30" t="inlineStr">
        <is>
          <t>双尾检验，p &lt; 0.05 视为显著</t>
        </is>
      </c>
    </row>
    <row r="10">
      <c r="A10" s="11" t="inlineStr">
        <is>
          <t>显著性判定</t>
        </is>
      </c>
      <c r="B10" s="35" t="str">
        <f>IF(B9="","",IF(B9&lt;0.001,"显著（p &lt; 0.001）",IF(B9&lt;0.01,"显著（p &lt; 0.01）",IF(B9&lt;0.05,"显著（p &lt; 0.05）","不显著（p ≥ 0.05）"))))</f>
        <v>显著（p &lt; 0.001）</v>
      </c>
      <c r="C10" s="5" t="inlineStr">
        <is>
          <t>按 0.05 / 0.01 / 0.001 三档阈值判定</t>
        </is>
      </c>
    </row>
    <row r="11">
      <c r="A11" s="14" t="inlineStr">
        <is>
          <t>95% 置信区间下限</t>
        </is>
      </c>
      <c r="B11" s="32">
        <f>IF(B7="","",B4-1.96*B7)</f>
        <v>0.3598012504829491</v>
      </c>
      <c r="C11" s="30" t="inlineStr">
        <is>
          <t>绝对提升 − 1.96 × 标准误</t>
        </is>
      </c>
    </row>
    <row r="12">
      <c r="A12" s="11" t="inlineStr">
        <is>
          <t>95% 置信区间上限</t>
        </is>
      </c>
      <c r="B12" s="31">
        <f>IF(B7="","",B4+1.96*B7)</f>
        <v>1.318560774018965</v>
      </c>
      <c r="C12" s="5" t="inlineStr">
        <is>
          <t>绝对提升 + 1.96 × 标准误</t>
        </is>
      </c>
    </row>
    <row r="13">
      <c r="A13" s="14" t="inlineStr">
        <is>
          <t>卡方统计量</t>
        </is>
      </c>
      <c r="B13" s="36">
        <f>IF(B8="","",B8^2)</f>
        <v>11.772373967417824</v>
      </c>
      <c r="C13" s="30" t="inlineStr">
        <is>
          <t>χ² = z²（自由度 1）</t>
        </is>
      </c>
    </row>
    <row r="14">
      <c r="A14" s="11" t="inlineStr">
        <is>
          <t>统计功效（事后近似）</t>
        </is>
      </c>
      <c r="B14" s="28">
        <f>IF(B8="","",NORMSDIST(ABS(B8)-1.96))</f>
        <v>0.9293665194366545</v>
      </c>
      <c r="C14" s="5" t="inlineStr">
        <is>
          <t>Φ(|z| − 1.96)；≥ 80% 视为功效充足</t>
        </is>
      </c>
    </row>
    <row r="15" ht="8" customHeight="1"/>
    <row r="16" ht="26" customHeight="1">
      <c r="A16" s="20" t="inlineStr">
        <is>
          <t>收入影响测算（黄色单元格为假设输入，可自行修改）</t>
        </is>
      </c>
      <c r="B16" s="20" t="n"/>
      <c r="C16" s="20" t="n"/>
    </row>
    <row r="17">
      <c r="A17" s="10" t="inlineStr">
        <is>
          <t>参数</t>
        </is>
      </c>
      <c r="B17" s="10" t="inlineStr">
        <is>
          <t>数值</t>
        </is>
      </c>
      <c r="C17" s="10" t="inlineStr">
        <is>
          <t>说明</t>
        </is>
      </c>
    </row>
    <row r="18">
      <c r="A18" s="3" t="inlineStr">
        <is>
          <t>全站日均访客</t>
        </is>
      </c>
      <c r="B18" s="37" t="n">
        <v>3200</v>
      </c>
      <c r="C18" s="5" t="inlineStr">
        <is>
          <t>进入注册页的全站日均 UV（含实验外流量）</t>
        </is>
      </c>
    </row>
    <row r="19">
      <c r="A19" s="3" t="inlineStr">
        <is>
          <t>注册用户平均首期贡献（¥）</t>
        </is>
      </c>
      <c r="B19" s="38" t="n">
        <v>260</v>
      </c>
      <c r="C19" s="5" t="inlineStr">
        <is>
          <t>首单 / 首期付费均值，已含未付费用户的 0 值摊薄</t>
        </is>
      </c>
    </row>
    <row r="20">
      <c r="A20" s="3" t="inlineStr">
        <is>
          <t>测算周期（天）</t>
        </is>
      </c>
      <c r="B20" s="37" t="n">
        <v>30</v>
      </c>
      <c r="C20" s="5" t="inlineStr">
        <is>
          <t>按月测算；年化按 365 天</t>
        </is>
      </c>
    </row>
    <row r="21">
      <c r="A21" s="3" t="inlineStr">
        <is>
          <t>预估周期收入增量（¥）</t>
        </is>
      </c>
      <c r="B21" s="39">
        <f>IF(B4="","",B4/100*B18*B20*B19)</f>
        <v>209459.58065783887</v>
      </c>
      <c r="C21" s="5" t="inlineStr">
        <is>
          <t>绝对提升（小数）× 日均访客 × 周期 × 首期贡献</t>
        </is>
      </c>
    </row>
    <row r="22">
      <c r="A22" s="3" t="inlineStr">
        <is>
          <t>预估年化收入增量（¥）</t>
        </is>
      </c>
      <c r="B22" s="39">
        <f>IF(B4="","",B4/100*B18*365*B19)</f>
        <v>2548424.8980037067</v>
      </c>
      <c r="C22" s="5" t="inlineStr">
        <is>
          <t>绝对提升（小数）× 日均访客 × 365 × 首期贡献</t>
        </is>
      </c>
    </row>
  </sheetData>
  <mergeCells count="1">
    <mergeCell ref="A16:C16"/>
  </mergeCells>
  <conditionalFormatting sqref="B10">
    <cfRule type="expression" priority="1" dxfId="2" stopIfTrue="1">
      <formula>ISNUMBER(SEARCH("不显著",B10))</formula>
    </cfRule>
    <cfRule type="expression" priority="2" dxfId="3">
      <formula>ISNUMBER(SEARCH("显著",B10))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3366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6" customWidth="1" min="2" max="2"/>
  </cols>
  <sheetData>
    <row r="1" ht="26" customHeight="1">
      <c r="A1" s="10" t="inlineStr">
        <is>
          <t>项目</t>
        </is>
      </c>
      <c r="B1" s="10" t="inlineStr">
        <is>
          <t>内容</t>
        </is>
      </c>
    </row>
    <row r="2" ht="26" customHeight="1">
      <c r="A2" s="3" t="inlineStr">
        <is>
          <t>上线建议</t>
        </is>
      </c>
      <c r="B2" s="40" t="str">
        <f>IF(统计分析!B9="","待补充数据",IF(统计分析!B9&gt;=0.05,"暂不全量上线：继续观察",IF(AND(统计分析!B5&gt;=实验概览!B12,统计分析!B14&gt;=0.8),"全量上线","灰度上线并扩大样本")))</f>
        <v>全量上线</v>
      </c>
    </row>
    <row r="3" ht="42" customHeight="1">
      <c r="A3" s="3" t="inlineStr">
        <is>
          <t>判断依据</t>
        </is>
      </c>
      <c r="B3" s="5" t="str">
        <f>"相对提升 "&amp;IF(统计分析!B5&gt;=0,"+","")&amp;TEXT(统计分析!B5,"0.00%")&amp;" 对比 MDE "&amp;TEXT(实验概览!B12,"0.00%")&amp;"；p 值 "&amp;TEXT(统计分析!B9,"0.000000")&amp;"（阈值 0.05）；事后统计功效 "&amp;TEXT(统计分析!B14,"0%")&amp;"（阈值 80%）。三项条件共同决定上线节奏。"</f>
        <v>相对提升 +12.06% 对比 MDE 8.00%；p 值 0.000601（阈值 0.05）；事后统计功效 93%（阈值 80%）。三项条件共同决定上线节奏。</v>
      </c>
    </row>
    <row r="4" ht="24" customHeight="1">
      <c r="A4" s="3" t="inlineStr">
        <is>
          <t>预估月收入增量（¥）</t>
        </is>
      </c>
      <c r="B4" s="41">
        <f>统计分析!B21</f>
        <v>209459.58065783887</v>
      </c>
    </row>
    <row r="5" ht="24" customHeight="1">
      <c r="A5" s="3" t="inlineStr">
        <is>
          <t>预估年化收入增量（¥）</t>
        </is>
      </c>
      <c r="B5" s="41">
        <f>统计分析!B22</f>
        <v>2548424.8980037067</v>
      </c>
    </row>
    <row r="6" ht="42" customHeight="1">
      <c r="A6" s="3" t="inlineStr">
        <is>
          <t>风险提示 1</t>
        </is>
      </c>
      <c r="B6" s="5" t="inlineStr">
        <is>
          <t>实验仅覆盖 21 天且含 6 个周末，周末流量与转化率均低于工作日；结论反映日常与周末的混合效应，大促、长假期间的表现仍需另行验证。</t>
        </is>
      </c>
    </row>
    <row r="7" ht="42" customHeight="1">
      <c r="A7" s="3" t="inlineStr">
        <is>
          <t>风险提示 2</t>
        </is>
      </c>
      <c r="B7" s="5" t="inlineStr">
        <is>
          <t>精简表单后「仅手机验证」的注册占比上升，需持续监控 7 日激活率与付费转化，防止低质量注册推高注册数、却在后续环节流失。</t>
        </is>
      </c>
    </row>
    <row r="8" ht="42" customHeight="1">
      <c r="A8" s="3" t="inlineStr">
        <is>
          <t>风险提示 3</t>
        </is>
      </c>
      <c r="B8" s="5" t="inlineStr">
        <is>
          <t>实验与前端其他改动同期进行时存在相互干扰风险，上线前请确认该周期内注册链路无其他并发改动。</t>
        </is>
      </c>
    </row>
    <row r="9" ht="42" customHeight="1">
      <c r="A9" s="3" t="inlineStr">
        <is>
          <t>后续实验建议 1</t>
        </is>
      </c>
      <c r="B9" s="5" t="inlineStr">
        <is>
          <t>三臂实验：3 项必填 vs 3 项 + 手机验证 vs 3 项 + 邮箱验证，剥离「验证方式」对转化的独立贡献。</t>
        </is>
      </c>
    </row>
    <row r="10" ht="42" customHeight="1">
      <c r="A10" s="3" t="inlineStr">
        <is>
          <t>后续实验建议 2</t>
        </is>
      </c>
      <c r="B10" s="5" t="inlineStr">
        <is>
          <t>针对 7 日激活率做后续实验：注册后引导流程（引导任务、空状态提示）对激活率的增量影响。</t>
        </is>
      </c>
    </row>
    <row r="11" ht="42" customHeight="1">
      <c r="A11" s="3" t="inlineStr">
        <is>
          <t>后续实验建议 3</t>
        </is>
      </c>
      <c r="B11" s="5" t="inlineStr">
        <is>
          <t>按渠道与新老用户分层复盘，验证本次提升是否集中在单一渠道，避免平均效应掩盖结构差异。</t>
        </is>
      </c>
    </row>
  </sheetData>
  <conditionalFormatting sqref="B2">
    <cfRule type="expression" priority="1" dxfId="3" stopIfTrue="1">
      <formula>ISNUMBER(SEARCH("全量上线",B2))</formula>
    </cfRule>
    <cfRule type="expression" priority="2" dxfId="4" stopIfTrue="1">
      <formula>ISNUMBER(SEARCH("灰度上线",B2))</formula>
    </cfRule>
    <cfRule type="expression" priority="3" dxfId="2">
      <formula>ISNUMBER(SEARCH("暂不全量",B2))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A/B 测试分析报告</dc:title>
  <dcterms:created xmlns:dcterms="http://purl.org/dc/terms/" xmlns:xsi="http://www.w3.org/2001/XMLSchema-instance" xsi:type="dcterms:W3CDTF">2026-10-20T16:09:23Z</dcterms:created>
  <dcterms:modified xmlns:dcterms="http://purl.org/dc/terms/" xmlns:xsi="http://www.w3.org/2001/XMLSchema-instance" xsi:type="dcterms:W3CDTF">2026-10-20T16:09:23Z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{"Label":"1","ContentProducer":"00119111010856365494821B355","ProduceID":"52e989b54a494a80b5402837a16d207d","ContentPropagator":"00119111010856365494821B355","PropagateID":"52e989b54a494a80b5402837a16d207d"}</vt:lpwstr>
  </property>
</Properties>
</file>