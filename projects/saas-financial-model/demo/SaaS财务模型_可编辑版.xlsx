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" sheetId="1" state="visible" r:id="rId1"/>
    <sheet xmlns:r="http://schemas.openxmlformats.org/officeDocument/2006/relationships" name="月度模型" sheetId="2" state="visible" r:id="rId2"/>
    <sheet xmlns:r="http://schemas.openxmlformats.org/officeDocument/2006/relationships" name="年度汇总" sheetId="3" state="visible" r:id="rId3"/>
    <sheet xmlns:r="http://schemas.openxmlformats.org/officeDocument/2006/relationships" name="单位经济" sheetId="4" state="visible" r:id="rId4"/>
    <sheet xmlns:r="http://schemas.openxmlformats.org/officeDocument/2006/relationships" name="情景对比" sheetId="5" state="visible" r:id="rId5"/>
    <sheet xmlns:r="http://schemas.openxmlformats.org/officeDocument/2006/relationships" name="融资节奏" sheetId="6" state="visible" r:id="rId6"/>
    <sheet xmlns:r="http://schemas.openxmlformats.org/officeDocument/2006/relationships" name="Cohort留存" sheetId="7" state="visible" r:id="rId7"/>
    <sheet xmlns:r="http://schemas.openxmlformats.org/officeDocument/2006/relationships" name="瀑布桥" sheetId="8" state="visible" r:id="rId8"/>
    <sheet xmlns:r="http://schemas.openxmlformats.org/officeDocument/2006/relationships" name="行动清单" sheetId="9" state="visible" r:id="rId9"/>
    <sheet xmlns:r="http://schemas.openxmlformats.org/officeDocument/2006/relationships" name="路线图" sheetId="10" state="visible" r:id="rId10"/>
    <sheet xmlns:r="http://schemas.openxmlformats.org/officeDocument/2006/relationships" name="敏感性" sheetId="11" state="visible" r:id="rId11"/>
    <sheet xmlns:r="http://schemas.openxmlformats.org/officeDocument/2006/relationships" name="说明" sheetId="12" state="visible" r:id="rId12"/>
    <sheet xmlns:r="http://schemas.openxmlformats.org/officeDocument/2006/relationships" name="注册量_三情景" sheetId="13" state="hidden" r:id="rId13"/>
    <sheet xmlns:r="http://schemas.openxmlformats.org/officeDocument/2006/relationships" name="转化率_三情景" sheetId="14" state="hidden" r:id="rId14"/>
    <sheet xmlns:r="http://schemas.openxmlformats.org/officeDocument/2006/relationships" name="AE数_三情景" sheetId="15" state="hidden" r:id="rId15"/>
    <sheet xmlns:r="http://schemas.openxmlformats.org/officeDocument/2006/relationships" name="AE人效_三情景" sheetId="16" state="hidden" r:id="rId16"/>
    <sheet xmlns:r="http://schemas.openxmlformats.org/officeDocument/2006/relationships" name="流失_三情景" sheetId="17" state="hidden" r:id="rId17"/>
    <sheet xmlns:r="http://schemas.openxmlformats.org/officeDocument/2006/relationships" name="客户数_三情景" sheetId="18" state="hidden" r:id="rId18"/>
    <sheet xmlns:r="http://schemas.openxmlformats.org/officeDocument/2006/relationships" name="席位数_三情景" sheetId="19" state="hidden" r:id="rId19"/>
    <sheet xmlns:r="http://schemas.openxmlformats.org/officeDocument/2006/relationships" name="客户支持_三情景" sheetId="20" state="hidden" r:id="rId20"/>
    <sheet xmlns:r="http://schemas.openxmlformats.org/officeDocument/2006/relationships" name="研发_三情景" sheetId="21" state="hidden" r:id="rId21"/>
    <sheet xmlns:r="http://schemas.openxmlformats.org/officeDocument/2006/relationships" name="销售市场_三情景" sheetId="22" state="hidden" r:id="rId22"/>
    <sheet xmlns:r="http://schemas.openxmlformats.org/officeDocument/2006/relationships" name="管理行政_三情景" sheetId="23" state="hidden" r:id="rId23"/>
    <sheet xmlns:r="http://schemas.openxmlformats.org/officeDocument/2006/relationships" name="营运资本_三情景" sheetId="24" state="hidden" r:id="rId24"/>
    <sheet xmlns:r="http://schemas.openxmlformats.org/officeDocument/2006/relationships" name="税金_三情景" sheetId="25" state="hidden" r:id="rId2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#,##0.0"/>
    <numFmt numFmtId="166" formatCode="0.0%"/>
    <numFmt numFmtId="167" formatCode="&quot;$&quot;#,##0"/>
    <numFmt numFmtId="168" formatCode="$#,##0.00&quot;M&quot;"/>
    <numFmt numFmtId="169" formatCode="0.0&quot;%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78828F"/>
      <sz val="9"/>
    </font>
    <font>
      <name val="Calibri"/>
      <b val="1"/>
      <sz val="10"/>
    </font>
    <font>
      <name val="Calibri"/>
      <b val="1"/>
      <color rgb="000D47A1"/>
      <sz val="10"/>
    </font>
    <font>
      <name val="Calibri"/>
      <b val="1"/>
      <color rgb="00283593"/>
      <sz val="10"/>
    </font>
    <font>
      <name val="Calibri"/>
      <sz val="10"/>
    </font>
    <font>
      <name val="Calibri"/>
      <b val="1"/>
      <color rgb="00C62828"/>
      <sz val="10"/>
    </font>
    <font>
      <name val="Calibri"/>
      <b val="1"/>
      <color rgb="00FFFFFF"/>
      <sz val="11"/>
    </font>
    <font>
      <name val="Calibri"/>
      <b val="1"/>
      <color rgb="00283593"/>
      <sz val="11"/>
    </font>
    <font>
      <name val="Calibri"/>
      <color rgb="00C62828"/>
      <sz val="10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4E0"/>
      </patternFill>
    </fill>
    <fill>
      <patternFill patternType="solid">
        <fgColor rgb="00E8EAF6"/>
      </patternFill>
    </fill>
    <fill>
      <patternFill patternType="solid">
        <fgColor rgb="00455A64"/>
      </patternFill>
    </fill>
    <fill>
      <patternFill patternType="solid">
        <fgColor rgb="00F7F9FB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E0F7F4"/>
      </patternFill>
    </fill>
  </fills>
  <borders count="2">
    <border>
      <left/>
      <right/>
      <top/>
      <bottom/>
      <diagonal/>
    </border>
    <border>
      <left style="thin">
        <color rgb="00D8DCE1"/>
      </left>
      <right style="thin">
        <color rgb="00D8DCE1"/>
      </right>
      <top style="thin">
        <color rgb="00D8DCE1"/>
      </top>
      <bottom style="thin">
        <color rgb="00D8DCE1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4" borderId="0" pivotButton="0" quotePrefix="0" xfId="0"/>
    <xf numFmtId="0" fontId="6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right" vertical="center"/>
    </xf>
    <xf numFmtId="167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7" fontId="3" fillId="0" borderId="1" applyAlignment="1" pivotButton="0" quotePrefix="0" xfId="0">
      <alignment horizontal="right" vertical="center"/>
    </xf>
    <xf numFmtId="166" fontId="0" fillId="0" borderId="0" pivotButton="0" quotePrefix="0" xfId="0"/>
    <xf numFmtId="167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 vertical="center"/>
    </xf>
    <xf numFmtId="167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10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3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2" fillId="0" borderId="1" pivotButton="0" quotePrefix="0" xfId="0"/>
    <xf numFmtId="0" fontId="3" fillId="6" borderId="1" applyAlignment="1" pivotButton="0" quotePrefix="0" xfId="0">
      <alignment horizontal="center" vertical="center"/>
    </xf>
    <xf numFmtId="169" fontId="6" fillId="7" borderId="1" applyAlignment="1" pivotButton="0" quotePrefix="0" xfId="0">
      <alignment horizontal="right" vertical="center"/>
    </xf>
    <xf numFmtId="169" fontId="6" fillId="3" borderId="1" applyAlignment="1" pivotButton="0" quotePrefix="0" xfId="0">
      <alignment horizontal="right" vertical="center"/>
    </xf>
    <xf numFmtId="169" fontId="6" fillId="0" borderId="1" applyAlignment="1" pivotButton="0" quotePrefix="0" xfId="0">
      <alignment horizontal="right" vertical="center"/>
    </xf>
    <xf numFmtId="167" fontId="10" fillId="0" borderId="1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right" vertical="center"/>
    </xf>
    <xf numFmtId="168" fontId="3" fillId="3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3" fillId="0" borderId="0" applyAlignment="1" pivotButton="0" quotePrefix="0" xfId="0">
      <alignment vertical="top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DECEA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52" customWidth="1" min="5" max="5"/>
    <col width="3" customWidth="1" min="6" max="6"/>
  </cols>
  <sheetData>
    <row r="1" ht="26" customHeight="1">
      <c r="A1" s="1" t="inlineStr">
        <is>
          <t>假设面板 · 改这里，整表自动重算</t>
        </is>
      </c>
    </row>
    <row r="2">
      <c r="A2" s="2" t="inlineStr">
        <is>
          <t>浅蓝字=可编辑输入项。右上角选择情景后，所有下游表格自动切换。 基准参数已用 81 组参数扫描按行业基准带校准（见 calibrate.py）。</t>
        </is>
      </c>
    </row>
    <row r="4">
      <c r="A4" s="3" t="inlineStr">
        <is>
          <t>当前情景</t>
        </is>
      </c>
      <c r="B4" s="4" t="inlineStr">
        <is>
          <t>基准</t>
        </is>
      </c>
      <c r="C4" s="5" t="inlineStr">
        <is>
          <t>← 下拉切换</t>
        </is>
      </c>
    </row>
    <row r="6">
      <c r="A6" s="6" t="inlineStr">
        <is>
          <t>产品与定价</t>
        </is>
      </c>
    </row>
    <row r="7">
      <c r="A7" s="7" t="inlineStr">
        <is>
          <t>每席位月费 (US$)</t>
        </is>
      </c>
      <c r="B7" s="8" t="n">
        <v>29</v>
      </c>
      <c r="C7" s="8" t="n">
        <v>29</v>
      </c>
      <c r="D7" s="8" t="n">
        <v>29</v>
      </c>
      <c r="E7" s="2" t="inlineStr">
        <is>
          <t>客户给定 $29</t>
        </is>
      </c>
    </row>
    <row r="8">
      <c r="A8" s="7" t="inlineStr">
        <is>
          <t>M1 平均席位数/客户</t>
        </is>
      </c>
      <c r="B8" s="9" t="n">
        <v>12</v>
      </c>
      <c r="C8" s="9" t="n">
        <v>12</v>
      </c>
      <c r="D8" s="9" t="n">
        <v>12</v>
      </c>
      <c r="E8" s="2" t="inlineStr">
        <is>
          <t>SMB 团队起步规模</t>
        </is>
      </c>
    </row>
    <row r="9">
      <c r="A9" s="7" t="inlineStr">
        <is>
          <t>M36 平均席位数/客户</t>
        </is>
      </c>
      <c r="B9" s="9" t="n">
        <v>13</v>
      </c>
      <c r="C9" s="9" t="n">
        <v>17</v>
      </c>
      <c r="D9" s="9" t="n">
        <v>18</v>
      </c>
      <c r="E9" s="2" t="inlineStr">
        <is>
          <t>随客户成长</t>
        </is>
      </c>
    </row>
    <row r="10">
      <c r="A10" s="7" t="inlineStr">
        <is>
          <t>席位净扩张率 (月)</t>
        </is>
      </c>
      <c r="B10" s="10" t="n">
        <v>0.0075</v>
      </c>
      <c r="C10" s="10" t="n">
        <v>0.0185</v>
      </c>
      <c r="D10" s="10" t="n">
        <v>0.025</v>
      </c>
      <c r="E10" s="2" t="inlineStr">
        <is>
          <t>NRR 的唯一来源，对模型最敏感</t>
        </is>
      </c>
    </row>
    <row r="11">
      <c r="A11" s="6" t="inlineStr">
        <is>
          <t>获客漏斗</t>
        </is>
      </c>
    </row>
    <row r="12">
      <c r="A12" s="7" t="inlineStr">
        <is>
          <t>M36 月注册量</t>
        </is>
      </c>
      <c r="B12" s="11" t="n">
        <v>565</v>
      </c>
      <c r="C12" s="11" t="n">
        <v>1030</v>
      </c>
      <c r="D12" s="11" t="n">
        <v>1400</v>
      </c>
      <c r="E12" s="2" t="inlineStr">
        <is>
          <t>PLG 流量规模</t>
        </is>
      </c>
    </row>
    <row r="13">
      <c r="A13" s="7" t="inlineStr">
        <is>
          <t>PLG 注册→付费转化 (M36)</t>
        </is>
      </c>
      <c r="B13" s="12" t="n">
        <v>0.029</v>
      </c>
      <c r="C13" s="12" t="n">
        <v>0.04</v>
      </c>
      <c r="D13" s="12" t="n">
        <v>0.05</v>
      </c>
      <c r="E13" s="2" t="inlineStr">
        <is>
          <t>行业 3–5%</t>
        </is>
      </c>
    </row>
    <row r="14">
      <c r="A14" s="7" t="inlineStr">
        <is>
          <t>单注册成本 (US$)</t>
        </is>
      </c>
      <c r="B14" s="13" t="n">
        <v>30</v>
      </c>
      <c r="C14" s="13" t="n">
        <v>30</v>
      </c>
      <c r="D14" s="13" t="n">
        <v>26</v>
      </c>
      <c r="E14" s="2" t="inlineStr">
        <is>
          <t>驱动营销预算 → CAC 是产出不是输入</t>
        </is>
      </c>
    </row>
    <row r="15">
      <c r="A15" s="7" t="inlineStr">
        <is>
          <t>M36 AE 人数</t>
        </is>
      </c>
      <c r="B15" s="11" t="n">
        <v>5</v>
      </c>
      <c r="C15" s="11" t="n">
        <v>5</v>
      </c>
      <c r="D15" s="11" t="n">
        <v>5</v>
      </c>
      <c r="E15" s="2" t="inlineStr">
        <is>
          <t>销售辅助获客产能</t>
        </is>
      </c>
    </row>
    <row r="16">
      <c r="A16" s="7" t="inlineStr">
        <is>
          <t>M36 AE 人效 (客/人/月)</t>
        </is>
      </c>
      <c r="B16" s="9" t="n">
        <v>1.3</v>
      </c>
      <c r="C16" s="9" t="n">
        <v>2.1</v>
      </c>
      <c r="D16" s="9" t="n">
        <v>2.7</v>
      </c>
      <c r="E16" s="2" t="inlineStr">
        <is>
          <t>SMB 小单成单慢，早期偏低</t>
        </is>
      </c>
    </row>
    <row r="17">
      <c r="A17" s="6" t="inlineStr">
        <is>
          <t>留存与合同结构</t>
        </is>
      </c>
    </row>
    <row r="18">
      <c r="A18" s="7" t="inlineStr">
        <is>
          <t>PLG 客月流失率</t>
        </is>
      </c>
      <c r="B18" s="10" t="n">
        <v>0.082</v>
      </c>
      <c r="C18" s="10" t="n">
        <v>0.062</v>
      </c>
      <c r="D18" s="10" t="n">
        <v>0.052</v>
      </c>
      <c r="E18" s="2" t="inlineStr">
        <is>
          <t>低价自助带 5–8%/月</t>
        </is>
      </c>
    </row>
    <row r="19">
      <c r="A19" s="7" t="inlineStr">
        <is>
          <t>销售客月流失率</t>
        </is>
      </c>
      <c r="B19" s="10" t="n">
        <v>0.028</v>
      </c>
      <c r="C19" s="10" t="n">
        <v>0.018</v>
      </c>
      <c r="D19" s="10" t="n">
        <v>0.015</v>
      </c>
      <c r="E19" s="2" t="inlineStr">
        <is>
          <t>年约带 1–2%/月</t>
        </is>
      </c>
    </row>
    <row r="20">
      <c r="A20" s="7" t="inlineStr">
        <is>
          <t>PLG 客年约自升级率 (月)</t>
        </is>
      </c>
      <c r="B20" s="12" t="n">
        <v>0.1</v>
      </c>
      <c r="C20" s="12" t="n">
        <v>0.26</v>
      </c>
      <c r="D20" s="12" t="n">
        <v>0.34</v>
      </c>
      <c r="E20" s="2" t="inlineStr">
        <is>
          <t>把月付客转成年约可砍半流失</t>
        </is>
      </c>
    </row>
    <row r="21">
      <c r="A21" s="7" t="inlineStr">
        <is>
          <t>年约客回退月付率 (月)</t>
        </is>
      </c>
      <c r="B21" s="10" t="n">
        <v>0.004</v>
      </c>
      <c r="C21" s="10" t="n">
        <v>0.004</v>
      </c>
      <c r="D21" s="10" t="n">
        <v>0.004</v>
      </c>
      <c r="E21" s="2" t="inlineStr">
        <is>
          <t>年约也会掉回月付</t>
        </is>
      </c>
    </row>
    <row r="22">
      <c r="A22" s="7" t="inlineStr">
        <is>
          <t>M36 销售辅助客占新客比</t>
        </is>
      </c>
      <c r="B22" s="12" t="n">
        <v>0.38</v>
      </c>
      <c r="C22" s="12" t="n">
        <v>0.62</v>
      </c>
      <c r="D22" s="12" t="n">
        <v>0.7</v>
      </c>
      <c r="E22" s="2" t="inlineStr">
        <is>
          <t>年约销售客占比</t>
        </is>
      </c>
    </row>
    <row r="23">
      <c r="A23" s="6" t="inlineStr">
        <is>
          <t>成本结构</t>
        </is>
      </c>
    </row>
    <row r="24">
      <c r="A24" s="7" t="inlineStr">
        <is>
          <t>服务器固定成本 (月)</t>
        </is>
      </c>
      <c r="B24" s="13" t="n">
        <v>2200</v>
      </c>
      <c r="C24" s="13" t="n">
        <v>2200</v>
      </c>
      <c r="D24" s="13" t="n">
        <v>2200</v>
      </c>
      <c r="E24" s="2" t="inlineStr"/>
    </row>
    <row r="25">
      <c r="A25" s="7" t="inlineStr">
        <is>
          <t>单客户服务器成本 (月)</t>
        </is>
      </c>
      <c r="B25" s="13" t="n">
        <v>8</v>
      </c>
      <c r="C25" s="13" t="n">
        <v>8</v>
      </c>
      <c r="D25" s="13" t="n">
        <v>8</v>
      </c>
      <c r="E25" s="2" t="inlineStr"/>
    </row>
    <row r="26">
      <c r="A26" s="7" t="inlineStr">
        <is>
          <t>支付通道费率</t>
        </is>
      </c>
      <c r="B26" s="10" t="n">
        <v>0.029</v>
      </c>
      <c r="C26" s="10" t="n">
        <v>0.029</v>
      </c>
      <c r="D26" s="10" t="n">
        <v>0.029</v>
      </c>
      <c r="E26" s="2" t="inlineStr">
        <is>
          <t>Stripe 约 2.9%</t>
        </is>
      </c>
    </row>
    <row r="27">
      <c r="A27" s="7" t="inlineStr">
        <is>
          <t>营销固定项目 (月)</t>
        </is>
      </c>
      <c r="B27" s="13" t="n">
        <v>4000</v>
      </c>
      <c r="C27" s="13" t="n">
        <v>4000</v>
      </c>
      <c r="D27" s="13" t="n">
        <v>4000</v>
      </c>
      <c r="E27" s="2" t="inlineStr">
        <is>
          <t>品牌/活动/工具</t>
        </is>
      </c>
    </row>
    <row r="28">
      <c r="A28" s="7" t="inlineStr">
        <is>
          <t>办公与行政 (月)</t>
        </is>
      </c>
      <c r="B28" s="13" t="n">
        <v>3500</v>
      </c>
      <c r="C28" s="13" t="n">
        <v>3500</v>
      </c>
      <c r="D28" s="13" t="n">
        <v>3500</v>
      </c>
      <c r="E28" s="2" t="inlineStr"/>
    </row>
    <row r="29">
      <c r="A29" s="7" t="inlineStr">
        <is>
          <t>客户支持工具 (月)</t>
        </is>
      </c>
      <c r="B29" s="13" t="n">
        <v>1200</v>
      </c>
      <c r="C29" s="13" t="n">
        <v>1200</v>
      </c>
      <c r="D29" s="13" t="n">
        <v>1200</v>
      </c>
      <c r="E29" s="2" t="inlineStr">
        <is>
          <t>客户成功工具/知识库</t>
        </is>
      </c>
    </row>
    <row r="30">
      <c r="A30" s="7" t="inlineStr">
        <is>
          <t>资本开支占收入比</t>
        </is>
      </c>
      <c r="B30" s="10" t="n">
        <v>0.012</v>
      </c>
      <c r="C30" s="10" t="n">
        <v>0.012</v>
      </c>
      <c r="D30" s="10" t="n">
        <v>0.012</v>
      </c>
      <c r="E30" s="2" t="inlineStr">
        <is>
          <t>轻资产，约 1.2%</t>
        </is>
      </c>
    </row>
    <row r="31">
      <c r="A31" s="7" t="inlineStr">
        <is>
          <t>M36 团队总人数</t>
        </is>
      </c>
      <c r="B31" s="11" t="n">
        <v>41</v>
      </c>
      <c r="C31" s="11" t="n">
        <v>34</v>
      </c>
      <c r="D31" s="11" t="n">
        <v>34</v>
      </c>
      <c r="E31" s="2" t="inlineStr">
        <is>
          <t>由分职能编制表加总</t>
        </is>
      </c>
    </row>
    <row r="32">
      <c r="A32" s="6" t="inlineStr">
        <is>
          <t>融资</t>
        </is>
      </c>
    </row>
    <row r="33">
      <c r="A33" s="7" t="inlineStr">
        <is>
          <t>种子轮金额</t>
        </is>
      </c>
      <c r="B33" s="13" t="n">
        <v>3500000</v>
      </c>
      <c r="C33" s="13" t="n">
        <v>3500000</v>
      </c>
      <c r="D33" s="13" t="n">
        <v>3500000</v>
      </c>
      <c r="E33" s="2" t="inlineStr">
        <is>
          <t>Carta SaaS 种子中位 $4.1M</t>
        </is>
      </c>
    </row>
    <row r="34">
      <c r="A34" s="7" t="inlineStr">
        <is>
          <t>种子轮投后</t>
        </is>
      </c>
      <c r="B34" s="13" t="n">
        <v>20000000</v>
      </c>
      <c r="C34" s="13" t="n">
        <v>20000000</v>
      </c>
      <c r="D34" s="13" t="n">
        <v>20000000</v>
      </c>
      <c r="E34" s="2" t="inlineStr"/>
    </row>
    <row r="35">
      <c r="A35" s="7" t="inlineStr">
        <is>
          <t>A 轮目标规模</t>
        </is>
      </c>
      <c r="B35" s="13" t="n">
        <v>12000000</v>
      </c>
      <c r="C35" s="13" t="n">
        <v>12000000</v>
      </c>
      <c r="D35" s="13" t="n">
        <v>12000000</v>
      </c>
      <c r="E35" s="2" t="inlineStr">
        <is>
          <t>Carta A 轮中位 $12M</t>
        </is>
      </c>
    </row>
    <row r="36">
      <c r="A36" s="7" t="inlineStr">
        <is>
          <t>A 轮打款月份</t>
        </is>
      </c>
      <c r="B36" s="11" t="n">
        <v>0</v>
      </c>
      <c r="C36" s="11" t="n">
        <v>0</v>
      </c>
      <c r="D36" s="11" t="n">
        <v>0</v>
      </c>
      <c r="E36" s="2" t="inlineStr">
        <is>
          <t>派生量：ARR 过 $1M 的月份（基准 M18），改这个值需同步模型</t>
        </is>
      </c>
    </row>
    <row r="38">
      <c r="A38" s="14" t="inlineStr">
        <is>
          <t>▼ 选中的情景值（公式引用，改 B4 即变）</t>
        </is>
      </c>
    </row>
    <row r="39">
      <c r="A39" s="5" t="inlineStr">
        <is>
          <t>a_round_month</t>
        </is>
      </c>
      <c r="B39" s="15">
        <f>INDEX(B36:D36,1,MATCH($B$4,B$6:B$6,0))</f>
        <v/>
      </c>
    </row>
  </sheetData>
  <mergeCells count="7">
    <mergeCell ref="A2:H2"/>
    <mergeCell ref="A11:H11"/>
    <mergeCell ref="A1:H1"/>
    <mergeCell ref="A23:H23"/>
    <mergeCell ref="A32:H32"/>
    <mergeCell ref="A6:H6"/>
    <mergeCell ref="A17:H17"/>
  </mergeCells>
  <dataValidations count="1">
    <dataValidation sqref="B4" showDropDown="0" showInputMessage="0" showErrorMessage="0" allowBlank="0" type="list">
      <formula1>"悲观,基准,乐观"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6" customHeight="1">
      <c r="A1" s="1" t="inlineStr">
        <is>
          <t>月度模型 · 36 个月（活公式）</t>
        </is>
      </c>
    </row>
    <row r="2">
      <c r="A2" s="2" t="inlineStr">
        <is>
          <t>所有单元格引用「假设」页，随情景切换与假设修改自动重算。 口径:MRR=期末客户数×席位数×$29;ARR=MRR×12;CAC 回收期用毛利口径。</t>
        </is>
      </c>
    </row>
    <row r="4">
      <c r="A4" s="16" t="inlineStr">
        <is>
          <t>月份</t>
        </is>
      </c>
      <c r="B4" s="16" t="inlineStr">
        <is>
          <t>注册量</t>
        </is>
      </c>
      <c r="C4" s="16" t="inlineStr">
        <is>
          <t>PLG新客</t>
        </is>
      </c>
      <c r="D4" s="16" t="inlineStr">
        <is>
          <t>销售新客</t>
        </is>
      </c>
      <c r="E4" s="16" t="inlineStr">
        <is>
          <t>新客合计</t>
        </is>
      </c>
      <c r="F4" s="16" t="inlineStr">
        <is>
          <t>流失客户</t>
        </is>
      </c>
      <c r="G4" s="16" t="inlineStr">
        <is>
          <t>期末客户数</t>
        </is>
      </c>
      <c r="H4" s="16" t="inlineStr">
        <is>
          <t>期末席位数</t>
        </is>
      </c>
      <c r="I4" s="16" t="inlineStr">
        <is>
          <t>ARPU</t>
        </is>
      </c>
      <c r="J4" s="16" t="inlineStr">
        <is>
          <t>MRR</t>
        </is>
      </c>
      <c r="K4" s="16" t="inlineStr">
        <is>
          <t>ARR</t>
        </is>
      </c>
      <c r="L4" s="16" t="inlineStr">
        <is>
          <t>收入</t>
        </is>
      </c>
      <c r="M4" s="16" t="inlineStr">
        <is>
          <t>服务器+支付</t>
        </is>
      </c>
      <c r="N4" s="16" t="inlineStr">
        <is>
          <t>客户支持</t>
        </is>
      </c>
      <c r="O4" s="16" t="inlineStr">
        <is>
          <t>毛利</t>
        </is>
      </c>
      <c r="P4" s="16" t="inlineStr">
        <is>
          <t>毛利率</t>
        </is>
      </c>
      <c r="Q4" s="16" t="inlineStr">
        <is>
          <t>研发+产品</t>
        </is>
      </c>
      <c r="R4" s="16" t="inlineStr">
        <is>
          <t>销售与市场</t>
        </is>
      </c>
      <c r="S4" s="16" t="inlineStr">
        <is>
          <t>管理行政</t>
        </is>
      </c>
      <c r="T4" s="16" t="inlineStr">
        <is>
          <t>EBITDA</t>
        </is>
      </c>
      <c r="U4" s="16" t="inlineStr">
        <is>
          <t>经营现金流</t>
        </is>
      </c>
      <c r="V4" s="16" t="inlineStr">
        <is>
          <t>期末现金</t>
        </is>
      </c>
      <c r="W4" s="16" t="inlineStr">
        <is>
          <t>营运资本变动</t>
        </is>
      </c>
      <c r="X4" s="16" t="inlineStr">
        <is>
          <t>税金</t>
        </is>
      </c>
      <c r="Y4" s="16" t="inlineStr">
        <is>
          <t>A轮回款</t>
        </is>
      </c>
      <c r="Z4" s="16" t="inlineStr">
        <is>
          <t>资本开支</t>
        </is>
      </c>
    </row>
    <row r="5">
      <c r="A5" s="17" t="n">
        <v>1</v>
      </c>
      <c r="B5" s="18">
        <f>INDEX(注册量_三情景!$B$2:$D$2,1,MATCH(假设!$B$4,{"悲观","基准","乐观"},0))</f>
        <v/>
      </c>
      <c r="C5" s="18">
        <f>B5*INDEX(转化率_三情景!$B$2:$D$2,1,MATCH(假设!$B$4,{"悲观","基准","乐观"},0))</f>
        <v/>
      </c>
      <c r="D5" s="18">
        <f>INDEX(AE数_三情景!$B$2:$D$2,1,MATCH(假设!$B$4,{"悲观","基准","乐观"},0))*INDEX(AE人效_三情景!$B$2:$D$2,1,MATCH(假设!$B$4,{"悲观","基准","乐观"},0))</f>
        <v/>
      </c>
      <c r="E5" s="18">
        <f>C5+D5</f>
        <v/>
      </c>
      <c r="F5" s="18">
        <f>INDEX(流失_三情景!$B$2:$D$2,1,MATCH(假设!$B$4,{"悲观","基准","乐观"},0))</f>
        <v/>
      </c>
      <c r="G5" s="18">
        <f>INDEX(客户数_三情景!$B$2:$D$2,1,MATCH(假设!$B$4,{"悲观","基准","乐观"},0))</f>
        <v/>
      </c>
      <c r="H5" s="18">
        <f>INDEX(席位数_三情景!$B$2:$D$2,1,MATCH(假设!$B$4,{"悲观","基准","乐观"},0))</f>
        <v/>
      </c>
      <c r="I5" s="19">
        <f>IF(G5=0,0,L5/G5)</f>
        <v/>
      </c>
      <c r="J5" s="19">
        <f>H5*假设!$B$7</f>
        <v/>
      </c>
      <c r="K5" s="19">
        <f>J5*12</f>
        <v/>
      </c>
      <c r="L5" s="19">
        <f>J5</f>
        <v/>
      </c>
      <c r="M5" s="19">
        <f>假设!$B$24+假设!$B$25*G5+L5*假设!$B$26+假设!$B$29</f>
        <v/>
      </c>
      <c r="N5" s="19">
        <f>INDEX(客户支持_三情景!$B$2:$D$2,1,MATCH(假设!$B$4,{"悲观","基准","乐观"},0))</f>
        <v/>
      </c>
      <c r="O5" s="19">
        <f>L5-M5-N5</f>
        <v/>
      </c>
      <c r="P5" s="20">
        <f>IF(L5=0,0,O5/L5)</f>
        <v/>
      </c>
      <c r="Q5" s="19">
        <f>INDEX(研发_三情景!$B$2:$D$2,1,MATCH(假设!$B$4,{"悲观","基准","乐观"},0))</f>
        <v/>
      </c>
      <c r="R5" s="19">
        <f>INDEX(销售市场_三情景!$B$2:$D$2,1,MATCH(假设!$B$4,{"悲观","基准","乐观"},0))</f>
        <v/>
      </c>
      <c r="S5" s="19">
        <f>INDEX(管理行政_三情景!$B$2:$D$2,1,MATCH(假设!$B$4,{"悲观","基准","乐观"},0))</f>
        <v/>
      </c>
      <c r="T5" s="19">
        <f>O5-Q5-R5-S5</f>
        <v/>
      </c>
      <c r="U5" s="19">
        <f>T5-W5-X5</f>
        <v/>
      </c>
      <c r="V5" s="19">
        <f>假设!$B$33+SUM($U$5:U5)+SUM($Y$5:Y5)-SUM($Z$5:Z5)</f>
        <v/>
      </c>
      <c r="W5" s="19">
        <f>INDEX(营运资本_三情景!$B$2:$D$2,1,MATCH(假设!$B$4,{"悲观","基准","乐观"},0))</f>
        <v/>
      </c>
      <c r="X5" s="19">
        <f>INDEX(税金_三情景!$B$2:$D$2,1,MATCH(假设!$B$4,{"悲观","基准","乐观"},0))</f>
        <v/>
      </c>
      <c r="Y5" s="19">
        <f>IF($A5=18,假设!$B$35,0)</f>
        <v/>
      </c>
      <c r="Z5" s="19">
        <f>L5*假设!$B$30</f>
        <v/>
      </c>
    </row>
    <row r="6">
      <c r="A6" s="21" t="n">
        <v>2</v>
      </c>
      <c r="B6" s="22">
        <f>INDEX(注册量_三情景!$B$3:$D$3,1,MATCH(假设!$B$4,{"悲观","基准","乐观"},0))</f>
        <v/>
      </c>
      <c r="C6" s="22">
        <f>B6*INDEX(转化率_三情景!$B$3:$D$3,1,MATCH(假设!$B$4,{"悲观","基准","乐观"},0))</f>
        <v/>
      </c>
      <c r="D6" s="22">
        <f>INDEX(AE数_三情景!$B$3:$D$3,1,MATCH(假设!$B$4,{"悲观","基准","乐观"},0))*INDEX(AE人效_三情景!$B$3:$D$3,1,MATCH(假设!$B$4,{"悲观","基准","乐观"},0))</f>
        <v/>
      </c>
      <c r="E6" s="22">
        <f>C6+D6</f>
        <v/>
      </c>
      <c r="F6" s="22">
        <f>INDEX(流失_三情景!$B$3:$D$3,1,MATCH(假设!$B$4,{"悲观","基准","乐观"},0))</f>
        <v/>
      </c>
      <c r="G6" s="22">
        <f>INDEX(客户数_三情景!$B$3:$D$3,1,MATCH(假设!$B$4,{"悲观","基准","乐观"},0))</f>
        <v/>
      </c>
      <c r="H6" s="22">
        <f>INDEX(席位数_三情景!$B$3:$D$3,1,MATCH(假设!$B$4,{"悲观","基准","乐观"},0))</f>
        <v/>
      </c>
      <c r="I6" s="23">
        <f>IF(G6=0,0,L6/G6)</f>
        <v/>
      </c>
      <c r="J6" s="23">
        <f>H6*假设!$B$7</f>
        <v/>
      </c>
      <c r="K6" s="23">
        <f>J6*12</f>
        <v/>
      </c>
      <c r="L6" s="23">
        <f>J6</f>
        <v/>
      </c>
      <c r="M6" s="23">
        <f>假设!$B$24+假设!$B$25*G6+L6*假设!$B$26+假设!$B$29</f>
        <v/>
      </c>
      <c r="N6" s="23">
        <f>INDEX(客户支持_三情景!$B$3:$D$3,1,MATCH(假设!$B$4,{"悲观","基准","乐观"},0))</f>
        <v/>
      </c>
      <c r="O6" s="23">
        <f>L6-M6-N6</f>
        <v/>
      </c>
      <c r="P6" s="24">
        <f>IF(L6=0,0,O6/L6)</f>
        <v/>
      </c>
      <c r="Q6" s="23">
        <f>INDEX(研发_三情景!$B$3:$D$3,1,MATCH(假设!$B$4,{"悲观","基准","乐观"},0))</f>
        <v/>
      </c>
      <c r="R6" s="23">
        <f>INDEX(销售市场_三情景!$B$3:$D$3,1,MATCH(假设!$B$4,{"悲观","基准","乐观"},0))</f>
        <v/>
      </c>
      <c r="S6" s="23">
        <f>INDEX(管理行政_三情景!$B$3:$D$3,1,MATCH(假设!$B$4,{"悲观","基准","乐观"},0))</f>
        <v/>
      </c>
      <c r="T6" s="23">
        <f>O6-Q6-R6-S6</f>
        <v/>
      </c>
      <c r="U6" s="23">
        <f>T6-W6-X6</f>
        <v/>
      </c>
      <c r="V6" s="23">
        <f>假设!$B$33+SUM($U$5:U6)+SUM($Y$5:Y6)-SUM($Z$5:Z6)</f>
        <v/>
      </c>
      <c r="W6" s="23">
        <f>INDEX(营运资本_三情景!$B$3:$D$3,1,MATCH(假设!$B$4,{"悲观","基准","乐观"},0))</f>
        <v/>
      </c>
      <c r="X6" s="23">
        <f>INDEX(税金_三情景!$B$3:$D$3,1,MATCH(假设!$B$4,{"悲观","基准","乐观"},0))</f>
        <v/>
      </c>
      <c r="Y6" s="23">
        <f>IF($A6=18,假设!$B$35,0)</f>
        <v/>
      </c>
      <c r="Z6" s="23">
        <f>L6*假设!$B$30</f>
        <v/>
      </c>
    </row>
    <row r="7">
      <c r="A7" s="17" t="n">
        <v>3</v>
      </c>
      <c r="B7" s="18">
        <f>INDEX(注册量_三情景!$B$4:$D$4,1,MATCH(假设!$B$4,{"悲观","基准","乐观"},0))</f>
        <v/>
      </c>
      <c r="C7" s="18">
        <f>B7*INDEX(转化率_三情景!$B$4:$D$4,1,MATCH(假设!$B$4,{"悲观","基准","乐观"},0))</f>
        <v/>
      </c>
      <c r="D7" s="18">
        <f>INDEX(AE数_三情景!$B$4:$D$4,1,MATCH(假设!$B$4,{"悲观","基准","乐观"},0))*INDEX(AE人效_三情景!$B$4:$D$4,1,MATCH(假设!$B$4,{"悲观","基准","乐观"},0))</f>
        <v/>
      </c>
      <c r="E7" s="18">
        <f>C7+D7</f>
        <v/>
      </c>
      <c r="F7" s="18">
        <f>INDEX(流失_三情景!$B$4:$D$4,1,MATCH(假设!$B$4,{"悲观","基准","乐观"},0))</f>
        <v/>
      </c>
      <c r="G7" s="18">
        <f>INDEX(客户数_三情景!$B$4:$D$4,1,MATCH(假设!$B$4,{"悲观","基准","乐观"},0))</f>
        <v/>
      </c>
      <c r="H7" s="18">
        <f>INDEX(席位数_三情景!$B$4:$D$4,1,MATCH(假设!$B$4,{"悲观","基准","乐观"},0))</f>
        <v/>
      </c>
      <c r="I7" s="19">
        <f>IF(G7=0,0,L7/G7)</f>
        <v/>
      </c>
      <c r="J7" s="19">
        <f>H7*假设!$B$7</f>
        <v/>
      </c>
      <c r="K7" s="19">
        <f>J7*12</f>
        <v/>
      </c>
      <c r="L7" s="19">
        <f>J7</f>
        <v/>
      </c>
      <c r="M7" s="19">
        <f>假设!$B$24+假设!$B$25*G7+L7*假设!$B$26+假设!$B$29</f>
        <v/>
      </c>
      <c r="N7" s="19">
        <f>INDEX(客户支持_三情景!$B$4:$D$4,1,MATCH(假设!$B$4,{"悲观","基准","乐观"},0))</f>
        <v/>
      </c>
      <c r="O7" s="19">
        <f>L7-M7-N7</f>
        <v/>
      </c>
      <c r="P7" s="20">
        <f>IF(L7=0,0,O7/L7)</f>
        <v/>
      </c>
      <c r="Q7" s="19">
        <f>INDEX(研发_三情景!$B$4:$D$4,1,MATCH(假设!$B$4,{"悲观","基准","乐观"},0))</f>
        <v/>
      </c>
      <c r="R7" s="19">
        <f>INDEX(销售市场_三情景!$B$4:$D$4,1,MATCH(假设!$B$4,{"悲观","基准","乐观"},0))</f>
        <v/>
      </c>
      <c r="S7" s="19">
        <f>INDEX(管理行政_三情景!$B$4:$D$4,1,MATCH(假设!$B$4,{"悲观","基准","乐观"},0))</f>
        <v/>
      </c>
      <c r="T7" s="19">
        <f>O7-Q7-R7-S7</f>
        <v/>
      </c>
      <c r="U7" s="19">
        <f>T7-W7-X7</f>
        <v/>
      </c>
      <c r="V7" s="19">
        <f>假设!$B$33+SUM($U$5:U7)+SUM($Y$5:Y7)-SUM($Z$5:Z7)</f>
        <v/>
      </c>
      <c r="W7" s="19">
        <f>INDEX(营运资本_三情景!$B$4:$D$4,1,MATCH(假设!$B$4,{"悲观","基准","乐观"},0))</f>
        <v/>
      </c>
      <c r="X7" s="19">
        <f>INDEX(税金_三情景!$B$4:$D$4,1,MATCH(假设!$B$4,{"悲观","基准","乐观"},0))</f>
        <v/>
      </c>
      <c r="Y7" s="19">
        <f>IF($A7=18,假设!$B$35,0)</f>
        <v/>
      </c>
      <c r="Z7" s="19">
        <f>L7*假设!$B$30</f>
        <v/>
      </c>
    </row>
    <row r="8">
      <c r="A8" s="21" t="n">
        <v>4</v>
      </c>
      <c r="B8" s="22">
        <f>INDEX(注册量_三情景!$B$5:$D$5,1,MATCH(假设!$B$4,{"悲观","基准","乐观"},0))</f>
        <v/>
      </c>
      <c r="C8" s="22">
        <f>B8*INDEX(转化率_三情景!$B$5:$D$5,1,MATCH(假设!$B$4,{"悲观","基准","乐观"},0))</f>
        <v/>
      </c>
      <c r="D8" s="22">
        <f>INDEX(AE数_三情景!$B$5:$D$5,1,MATCH(假设!$B$4,{"悲观","基准","乐观"},0))*INDEX(AE人效_三情景!$B$5:$D$5,1,MATCH(假设!$B$4,{"悲观","基准","乐观"},0))</f>
        <v/>
      </c>
      <c r="E8" s="22">
        <f>C8+D8</f>
        <v/>
      </c>
      <c r="F8" s="22">
        <f>INDEX(流失_三情景!$B$5:$D$5,1,MATCH(假设!$B$4,{"悲观","基准","乐观"},0))</f>
        <v/>
      </c>
      <c r="G8" s="22">
        <f>INDEX(客户数_三情景!$B$5:$D$5,1,MATCH(假设!$B$4,{"悲观","基准","乐观"},0))</f>
        <v/>
      </c>
      <c r="H8" s="22">
        <f>INDEX(席位数_三情景!$B$5:$D$5,1,MATCH(假设!$B$4,{"悲观","基准","乐观"},0))</f>
        <v/>
      </c>
      <c r="I8" s="23">
        <f>IF(G8=0,0,L8/G8)</f>
        <v/>
      </c>
      <c r="J8" s="23">
        <f>H8*假设!$B$7</f>
        <v/>
      </c>
      <c r="K8" s="23">
        <f>J8*12</f>
        <v/>
      </c>
      <c r="L8" s="23">
        <f>J8</f>
        <v/>
      </c>
      <c r="M8" s="23">
        <f>假设!$B$24+假设!$B$25*G8+L8*假设!$B$26+假设!$B$29</f>
        <v/>
      </c>
      <c r="N8" s="23">
        <f>INDEX(客户支持_三情景!$B$5:$D$5,1,MATCH(假设!$B$4,{"悲观","基准","乐观"},0))</f>
        <v/>
      </c>
      <c r="O8" s="23">
        <f>L8-M8-N8</f>
        <v/>
      </c>
      <c r="P8" s="24">
        <f>IF(L8=0,0,O8/L8)</f>
        <v/>
      </c>
      <c r="Q8" s="23">
        <f>INDEX(研发_三情景!$B$5:$D$5,1,MATCH(假设!$B$4,{"悲观","基准","乐观"},0))</f>
        <v/>
      </c>
      <c r="R8" s="23">
        <f>INDEX(销售市场_三情景!$B$5:$D$5,1,MATCH(假设!$B$4,{"悲观","基准","乐观"},0))</f>
        <v/>
      </c>
      <c r="S8" s="23">
        <f>INDEX(管理行政_三情景!$B$5:$D$5,1,MATCH(假设!$B$4,{"悲观","基准","乐观"},0))</f>
        <v/>
      </c>
      <c r="T8" s="23">
        <f>O8-Q8-R8-S8</f>
        <v/>
      </c>
      <c r="U8" s="23">
        <f>T8-W8-X8</f>
        <v/>
      </c>
      <c r="V8" s="23">
        <f>假设!$B$33+SUM($U$5:U8)+SUM($Y$5:Y8)-SUM($Z$5:Z8)</f>
        <v/>
      </c>
      <c r="W8" s="23">
        <f>INDEX(营运资本_三情景!$B$5:$D$5,1,MATCH(假设!$B$4,{"悲观","基准","乐观"},0))</f>
        <v/>
      </c>
      <c r="X8" s="23">
        <f>INDEX(税金_三情景!$B$5:$D$5,1,MATCH(假设!$B$4,{"悲观","基准","乐观"},0))</f>
        <v/>
      </c>
      <c r="Y8" s="23">
        <f>IF($A8=18,假设!$B$35,0)</f>
        <v/>
      </c>
      <c r="Z8" s="23">
        <f>L8*假设!$B$30</f>
        <v/>
      </c>
    </row>
    <row r="9">
      <c r="A9" s="17" t="n">
        <v>5</v>
      </c>
      <c r="B9" s="18">
        <f>INDEX(注册量_三情景!$B$6:$D$6,1,MATCH(假设!$B$4,{"悲观","基准","乐观"},0))</f>
        <v/>
      </c>
      <c r="C9" s="18">
        <f>B9*INDEX(转化率_三情景!$B$6:$D$6,1,MATCH(假设!$B$4,{"悲观","基准","乐观"},0))</f>
        <v/>
      </c>
      <c r="D9" s="18">
        <f>INDEX(AE数_三情景!$B$6:$D$6,1,MATCH(假设!$B$4,{"悲观","基准","乐观"},0))*INDEX(AE人效_三情景!$B$6:$D$6,1,MATCH(假设!$B$4,{"悲观","基准","乐观"},0))</f>
        <v/>
      </c>
      <c r="E9" s="18">
        <f>C9+D9</f>
        <v/>
      </c>
      <c r="F9" s="18">
        <f>INDEX(流失_三情景!$B$6:$D$6,1,MATCH(假设!$B$4,{"悲观","基准","乐观"},0))</f>
        <v/>
      </c>
      <c r="G9" s="18">
        <f>INDEX(客户数_三情景!$B$6:$D$6,1,MATCH(假设!$B$4,{"悲观","基准","乐观"},0))</f>
        <v/>
      </c>
      <c r="H9" s="18">
        <f>INDEX(席位数_三情景!$B$6:$D$6,1,MATCH(假设!$B$4,{"悲观","基准","乐观"},0))</f>
        <v/>
      </c>
      <c r="I9" s="19">
        <f>IF(G9=0,0,L9/G9)</f>
        <v/>
      </c>
      <c r="J9" s="19">
        <f>H9*假设!$B$7</f>
        <v/>
      </c>
      <c r="K9" s="19">
        <f>J9*12</f>
        <v/>
      </c>
      <c r="L9" s="19">
        <f>J9</f>
        <v/>
      </c>
      <c r="M9" s="19">
        <f>假设!$B$24+假设!$B$25*G9+L9*假设!$B$26+假设!$B$29</f>
        <v/>
      </c>
      <c r="N9" s="19">
        <f>INDEX(客户支持_三情景!$B$6:$D$6,1,MATCH(假设!$B$4,{"悲观","基准","乐观"},0))</f>
        <v/>
      </c>
      <c r="O9" s="19">
        <f>L9-M9-N9</f>
        <v/>
      </c>
      <c r="P9" s="20">
        <f>IF(L9=0,0,O9/L9)</f>
        <v/>
      </c>
      <c r="Q9" s="19">
        <f>INDEX(研发_三情景!$B$6:$D$6,1,MATCH(假设!$B$4,{"悲观","基准","乐观"},0))</f>
        <v/>
      </c>
      <c r="R9" s="19">
        <f>INDEX(销售市场_三情景!$B$6:$D$6,1,MATCH(假设!$B$4,{"悲观","基准","乐观"},0))</f>
        <v/>
      </c>
      <c r="S9" s="19">
        <f>INDEX(管理行政_三情景!$B$6:$D$6,1,MATCH(假设!$B$4,{"悲观","基准","乐观"},0))</f>
        <v/>
      </c>
      <c r="T9" s="19">
        <f>O9-Q9-R9-S9</f>
        <v/>
      </c>
      <c r="U9" s="19">
        <f>T9-W9-X9</f>
        <v/>
      </c>
      <c r="V9" s="19">
        <f>假设!$B$33+SUM($U$5:U9)+SUM($Y$5:Y9)-SUM($Z$5:Z9)</f>
        <v/>
      </c>
      <c r="W9" s="19">
        <f>INDEX(营运资本_三情景!$B$6:$D$6,1,MATCH(假设!$B$4,{"悲观","基准","乐观"},0))</f>
        <v/>
      </c>
      <c r="X9" s="19">
        <f>INDEX(税金_三情景!$B$6:$D$6,1,MATCH(假设!$B$4,{"悲观","基准","乐观"},0))</f>
        <v/>
      </c>
      <c r="Y9" s="19">
        <f>IF($A9=18,假设!$B$35,0)</f>
        <v/>
      </c>
      <c r="Z9" s="19">
        <f>L9*假设!$B$30</f>
        <v/>
      </c>
    </row>
    <row r="10">
      <c r="A10" s="21" t="n">
        <v>6</v>
      </c>
      <c r="B10" s="22">
        <f>INDEX(注册量_三情景!$B$7:$D$7,1,MATCH(假设!$B$4,{"悲观","基准","乐观"},0))</f>
        <v/>
      </c>
      <c r="C10" s="22">
        <f>B10*INDEX(转化率_三情景!$B$7:$D$7,1,MATCH(假设!$B$4,{"悲观","基准","乐观"},0))</f>
        <v/>
      </c>
      <c r="D10" s="22">
        <f>INDEX(AE数_三情景!$B$7:$D$7,1,MATCH(假设!$B$4,{"悲观","基准","乐观"},0))*INDEX(AE人效_三情景!$B$7:$D$7,1,MATCH(假设!$B$4,{"悲观","基准","乐观"},0))</f>
        <v/>
      </c>
      <c r="E10" s="22">
        <f>C10+D10</f>
        <v/>
      </c>
      <c r="F10" s="22">
        <f>INDEX(流失_三情景!$B$7:$D$7,1,MATCH(假设!$B$4,{"悲观","基准","乐观"},0))</f>
        <v/>
      </c>
      <c r="G10" s="22">
        <f>INDEX(客户数_三情景!$B$7:$D$7,1,MATCH(假设!$B$4,{"悲观","基准","乐观"},0))</f>
        <v/>
      </c>
      <c r="H10" s="22">
        <f>INDEX(席位数_三情景!$B$7:$D$7,1,MATCH(假设!$B$4,{"悲观","基准","乐观"},0))</f>
        <v/>
      </c>
      <c r="I10" s="23">
        <f>IF(G10=0,0,L10/G10)</f>
        <v/>
      </c>
      <c r="J10" s="23">
        <f>H10*假设!$B$7</f>
        <v/>
      </c>
      <c r="K10" s="23">
        <f>J10*12</f>
        <v/>
      </c>
      <c r="L10" s="23">
        <f>J10</f>
        <v/>
      </c>
      <c r="M10" s="23">
        <f>假设!$B$24+假设!$B$25*G10+L10*假设!$B$26+假设!$B$29</f>
        <v/>
      </c>
      <c r="N10" s="23">
        <f>INDEX(客户支持_三情景!$B$7:$D$7,1,MATCH(假设!$B$4,{"悲观","基准","乐观"},0))</f>
        <v/>
      </c>
      <c r="O10" s="23">
        <f>L10-M10-N10</f>
        <v/>
      </c>
      <c r="P10" s="24">
        <f>IF(L10=0,0,O10/L10)</f>
        <v/>
      </c>
      <c r="Q10" s="23">
        <f>INDEX(研发_三情景!$B$7:$D$7,1,MATCH(假设!$B$4,{"悲观","基准","乐观"},0))</f>
        <v/>
      </c>
      <c r="R10" s="23">
        <f>INDEX(销售市场_三情景!$B$7:$D$7,1,MATCH(假设!$B$4,{"悲观","基准","乐观"},0))</f>
        <v/>
      </c>
      <c r="S10" s="23">
        <f>INDEX(管理行政_三情景!$B$7:$D$7,1,MATCH(假设!$B$4,{"悲观","基准","乐观"},0))</f>
        <v/>
      </c>
      <c r="T10" s="23">
        <f>O10-Q10-R10-S10</f>
        <v/>
      </c>
      <c r="U10" s="23">
        <f>T10-W10-X10</f>
        <v/>
      </c>
      <c r="V10" s="23">
        <f>假设!$B$33+SUM($U$5:U10)+SUM($Y$5:Y10)-SUM($Z$5:Z10)</f>
        <v/>
      </c>
      <c r="W10" s="23">
        <f>INDEX(营运资本_三情景!$B$7:$D$7,1,MATCH(假设!$B$4,{"悲观","基准","乐观"},0))</f>
        <v/>
      </c>
      <c r="X10" s="23">
        <f>INDEX(税金_三情景!$B$7:$D$7,1,MATCH(假设!$B$4,{"悲观","基准","乐观"},0))</f>
        <v/>
      </c>
      <c r="Y10" s="23">
        <f>IF($A10=18,假设!$B$35,0)</f>
        <v/>
      </c>
      <c r="Z10" s="23">
        <f>L10*假设!$B$30</f>
        <v/>
      </c>
    </row>
    <row r="11">
      <c r="A11" s="17" t="n">
        <v>7</v>
      </c>
      <c r="B11" s="18">
        <f>INDEX(注册量_三情景!$B$8:$D$8,1,MATCH(假设!$B$4,{"悲观","基准","乐观"},0))</f>
        <v/>
      </c>
      <c r="C11" s="18">
        <f>B11*INDEX(转化率_三情景!$B$8:$D$8,1,MATCH(假设!$B$4,{"悲观","基准","乐观"},0))</f>
        <v/>
      </c>
      <c r="D11" s="18">
        <f>INDEX(AE数_三情景!$B$8:$D$8,1,MATCH(假设!$B$4,{"悲观","基准","乐观"},0))*INDEX(AE人效_三情景!$B$8:$D$8,1,MATCH(假设!$B$4,{"悲观","基准","乐观"},0))</f>
        <v/>
      </c>
      <c r="E11" s="18">
        <f>C11+D11</f>
        <v/>
      </c>
      <c r="F11" s="18">
        <f>INDEX(流失_三情景!$B$8:$D$8,1,MATCH(假设!$B$4,{"悲观","基准","乐观"},0))</f>
        <v/>
      </c>
      <c r="G11" s="18">
        <f>INDEX(客户数_三情景!$B$8:$D$8,1,MATCH(假设!$B$4,{"悲观","基准","乐观"},0))</f>
        <v/>
      </c>
      <c r="H11" s="18">
        <f>INDEX(席位数_三情景!$B$8:$D$8,1,MATCH(假设!$B$4,{"悲观","基准","乐观"},0))</f>
        <v/>
      </c>
      <c r="I11" s="19">
        <f>IF(G11=0,0,L11/G11)</f>
        <v/>
      </c>
      <c r="J11" s="19">
        <f>H11*假设!$B$7</f>
        <v/>
      </c>
      <c r="K11" s="19">
        <f>J11*12</f>
        <v/>
      </c>
      <c r="L11" s="19">
        <f>J11</f>
        <v/>
      </c>
      <c r="M11" s="19">
        <f>假设!$B$24+假设!$B$25*G11+L11*假设!$B$26+假设!$B$29</f>
        <v/>
      </c>
      <c r="N11" s="19">
        <f>INDEX(客户支持_三情景!$B$8:$D$8,1,MATCH(假设!$B$4,{"悲观","基准","乐观"},0))</f>
        <v/>
      </c>
      <c r="O11" s="19">
        <f>L11-M11-N11</f>
        <v/>
      </c>
      <c r="P11" s="20">
        <f>IF(L11=0,0,O11/L11)</f>
        <v/>
      </c>
      <c r="Q11" s="19">
        <f>INDEX(研发_三情景!$B$8:$D$8,1,MATCH(假设!$B$4,{"悲观","基准","乐观"},0))</f>
        <v/>
      </c>
      <c r="R11" s="19">
        <f>INDEX(销售市场_三情景!$B$8:$D$8,1,MATCH(假设!$B$4,{"悲观","基准","乐观"},0))</f>
        <v/>
      </c>
      <c r="S11" s="19">
        <f>INDEX(管理行政_三情景!$B$8:$D$8,1,MATCH(假设!$B$4,{"悲观","基准","乐观"},0))</f>
        <v/>
      </c>
      <c r="T11" s="19">
        <f>O11-Q11-R11-S11</f>
        <v/>
      </c>
      <c r="U11" s="19">
        <f>T11-W11-X11</f>
        <v/>
      </c>
      <c r="V11" s="19">
        <f>假设!$B$33+SUM($U$5:U11)+SUM($Y$5:Y11)-SUM($Z$5:Z11)</f>
        <v/>
      </c>
      <c r="W11" s="19">
        <f>INDEX(营运资本_三情景!$B$8:$D$8,1,MATCH(假设!$B$4,{"悲观","基准","乐观"},0))</f>
        <v/>
      </c>
      <c r="X11" s="19">
        <f>INDEX(税金_三情景!$B$8:$D$8,1,MATCH(假设!$B$4,{"悲观","基准","乐观"},0))</f>
        <v/>
      </c>
      <c r="Y11" s="19">
        <f>IF($A11=18,假设!$B$35,0)</f>
        <v/>
      </c>
      <c r="Z11" s="19">
        <f>L11*假设!$B$30</f>
        <v/>
      </c>
    </row>
    <row r="12">
      <c r="A12" s="21" t="n">
        <v>8</v>
      </c>
      <c r="B12" s="22">
        <f>INDEX(注册量_三情景!$B$9:$D$9,1,MATCH(假设!$B$4,{"悲观","基准","乐观"},0))</f>
        <v/>
      </c>
      <c r="C12" s="22">
        <f>B12*INDEX(转化率_三情景!$B$9:$D$9,1,MATCH(假设!$B$4,{"悲观","基准","乐观"},0))</f>
        <v/>
      </c>
      <c r="D12" s="22">
        <f>INDEX(AE数_三情景!$B$9:$D$9,1,MATCH(假设!$B$4,{"悲观","基准","乐观"},0))*INDEX(AE人效_三情景!$B$9:$D$9,1,MATCH(假设!$B$4,{"悲观","基准","乐观"},0))</f>
        <v/>
      </c>
      <c r="E12" s="22">
        <f>C12+D12</f>
        <v/>
      </c>
      <c r="F12" s="22">
        <f>INDEX(流失_三情景!$B$9:$D$9,1,MATCH(假设!$B$4,{"悲观","基准","乐观"},0))</f>
        <v/>
      </c>
      <c r="G12" s="22">
        <f>INDEX(客户数_三情景!$B$9:$D$9,1,MATCH(假设!$B$4,{"悲观","基准","乐观"},0))</f>
        <v/>
      </c>
      <c r="H12" s="22">
        <f>INDEX(席位数_三情景!$B$9:$D$9,1,MATCH(假设!$B$4,{"悲观","基准","乐观"},0))</f>
        <v/>
      </c>
      <c r="I12" s="23">
        <f>IF(G12=0,0,L12/G12)</f>
        <v/>
      </c>
      <c r="J12" s="23">
        <f>H12*假设!$B$7</f>
        <v/>
      </c>
      <c r="K12" s="23">
        <f>J12*12</f>
        <v/>
      </c>
      <c r="L12" s="23">
        <f>J12</f>
        <v/>
      </c>
      <c r="M12" s="23">
        <f>假设!$B$24+假设!$B$25*G12+L12*假设!$B$26+假设!$B$29</f>
        <v/>
      </c>
      <c r="N12" s="23">
        <f>INDEX(客户支持_三情景!$B$9:$D$9,1,MATCH(假设!$B$4,{"悲观","基准","乐观"},0))</f>
        <v/>
      </c>
      <c r="O12" s="23">
        <f>L12-M12-N12</f>
        <v/>
      </c>
      <c r="P12" s="24">
        <f>IF(L12=0,0,O12/L12)</f>
        <v/>
      </c>
      <c r="Q12" s="23">
        <f>INDEX(研发_三情景!$B$9:$D$9,1,MATCH(假设!$B$4,{"悲观","基准","乐观"},0))</f>
        <v/>
      </c>
      <c r="R12" s="23">
        <f>INDEX(销售市场_三情景!$B$9:$D$9,1,MATCH(假设!$B$4,{"悲观","基准","乐观"},0))</f>
        <v/>
      </c>
      <c r="S12" s="23">
        <f>INDEX(管理行政_三情景!$B$9:$D$9,1,MATCH(假设!$B$4,{"悲观","基准","乐观"},0))</f>
        <v/>
      </c>
      <c r="T12" s="23">
        <f>O12-Q12-R12-S12</f>
        <v/>
      </c>
      <c r="U12" s="23">
        <f>T12-W12-X12</f>
        <v/>
      </c>
      <c r="V12" s="23">
        <f>假设!$B$33+SUM($U$5:U12)+SUM($Y$5:Y12)-SUM($Z$5:Z12)</f>
        <v/>
      </c>
      <c r="W12" s="23">
        <f>INDEX(营运资本_三情景!$B$9:$D$9,1,MATCH(假设!$B$4,{"悲观","基准","乐观"},0))</f>
        <v/>
      </c>
      <c r="X12" s="23">
        <f>INDEX(税金_三情景!$B$9:$D$9,1,MATCH(假设!$B$4,{"悲观","基准","乐观"},0))</f>
        <v/>
      </c>
      <c r="Y12" s="23">
        <f>IF($A12=18,假设!$B$35,0)</f>
        <v/>
      </c>
      <c r="Z12" s="23">
        <f>L12*假设!$B$30</f>
        <v/>
      </c>
    </row>
    <row r="13">
      <c r="A13" s="17" t="n">
        <v>9</v>
      </c>
      <c r="B13" s="18">
        <f>INDEX(注册量_三情景!$B$10:$D$10,1,MATCH(假设!$B$4,{"悲观","基准","乐观"},0))</f>
        <v/>
      </c>
      <c r="C13" s="18">
        <f>B13*INDEX(转化率_三情景!$B$10:$D$10,1,MATCH(假设!$B$4,{"悲观","基准","乐观"},0))</f>
        <v/>
      </c>
      <c r="D13" s="18">
        <f>INDEX(AE数_三情景!$B$10:$D$10,1,MATCH(假设!$B$4,{"悲观","基准","乐观"},0))*INDEX(AE人效_三情景!$B$10:$D$10,1,MATCH(假设!$B$4,{"悲观","基准","乐观"},0))</f>
        <v/>
      </c>
      <c r="E13" s="18">
        <f>C13+D13</f>
        <v/>
      </c>
      <c r="F13" s="18">
        <f>INDEX(流失_三情景!$B$10:$D$10,1,MATCH(假设!$B$4,{"悲观","基准","乐观"},0))</f>
        <v/>
      </c>
      <c r="G13" s="18">
        <f>INDEX(客户数_三情景!$B$10:$D$10,1,MATCH(假设!$B$4,{"悲观","基准","乐观"},0))</f>
        <v/>
      </c>
      <c r="H13" s="18">
        <f>INDEX(席位数_三情景!$B$10:$D$10,1,MATCH(假设!$B$4,{"悲观","基准","乐观"},0))</f>
        <v/>
      </c>
      <c r="I13" s="19">
        <f>IF(G13=0,0,L13/G13)</f>
        <v/>
      </c>
      <c r="J13" s="19">
        <f>H13*假设!$B$7</f>
        <v/>
      </c>
      <c r="K13" s="19">
        <f>J13*12</f>
        <v/>
      </c>
      <c r="L13" s="19">
        <f>J13</f>
        <v/>
      </c>
      <c r="M13" s="19">
        <f>假设!$B$24+假设!$B$25*G13+L13*假设!$B$26+假设!$B$29</f>
        <v/>
      </c>
      <c r="N13" s="19">
        <f>INDEX(客户支持_三情景!$B$10:$D$10,1,MATCH(假设!$B$4,{"悲观","基准","乐观"},0))</f>
        <v/>
      </c>
      <c r="O13" s="19">
        <f>L13-M13-N13</f>
        <v/>
      </c>
      <c r="P13" s="20">
        <f>IF(L13=0,0,O13/L13)</f>
        <v/>
      </c>
      <c r="Q13" s="19">
        <f>INDEX(研发_三情景!$B$10:$D$10,1,MATCH(假设!$B$4,{"悲观","基准","乐观"},0))</f>
        <v/>
      </c>
      <c r="R13" s="19">
        <f>INDEX(销售市场_三情景!$B$10:$D$10,1,MATCH(假设!$B$4,{"悲观","基准","乐观"},0))</f>
        <v/>
      </c>
      <c r="S13" s="19">
        <f>INDEX(管理行政_三情景!$B$10:$D$10,1,MATCH(假设!$B$4,{"悲观","基准","乐观"},0))</f>
        <v/>
      </c>
      <c r="T13" s="19">
        <f>O13-Q13-R13-S13</f>
        <v/>
      </c>
      <c r="U13" s="19">
        <f>T13-W13-X13</f>
        <v/>
      </c>
      <c r="V13" s="19">
        <f>假设!$B$33+SUM($U$5:U13)+SUM($Y$5:Y13)-SUM($Z$5:Z13)</f>
        <v/>
      </c>
      <c r="W13" s="19">
        <f>INDEX(营运资本_三情景!$B$10:$D$10,1,MATCH(假设!$B$4,{"悲观","基准","乐观"},0))</f>
        <v/>
      </c>
      <c r="X13" s="19">
        <f>INDEX(税金_三情景!$B$10:$D$10,1,MATCH(假设!$B$4,{"悲观","基准","乐观"},0))</f>
        <v/>
      </c>
      <c r="Y13" s="19">
        <f>IF($A13=18,假设!$B$35,0)</f>
        <v/>
      </c>
      <c r="Z13" s="19">
        <f>L13*假设!$B$30</f>
        <v/>
      </c>
    </row>
    <row r="14">
      <c r="A14" s="21" t="n">
        <v>10</v>
      </c>
      <c r="B14" s="22">
        <f>INDEX(注册量_三情景!$B$11:$D$11,1,MATCH(假设!$B$4,{"悲观","基准","乐观"},0))</f>
        <v/>
      </c>
      <c r="C14" s="22">
        <f>B14*INDEX(转化率_三情景!$B$11:$D$11,1,MATCH(假设!$B$4,{"悲观","基准","乐观"},0))</f>
        <v/>
      </c>
      <c r="D14" s="22">
        <f>INDEX(AE数_三情景!$B$11:$D$11,1,MATCH(假设!$B$4,{"悲观","基准","乐观"},0))*INDEX(AE人效_三情景!$B$11:$D$11,1,MATCH(假设!$B$4,{"悲观","基准","乐观"},0))</f>
        <v/>
      </c>
      <c r="E14" s="22">
        <f>C14+D14</f>
        <v/>
      </c>
      <c r="F14" s="22">
        <f>INDEX(流失_三情景!$B$11:$D$11,1,MATCH(假设!$B$4,{"悲观","基准","乐观"},0))</f>
        <v/>
      </c>
      <c r="G14" s="22">
        <f>INDEX(客户数_三情景!$B$11:$D$11,1,MATCH(假设!$B$4,{"悲观","基准","乐观"},0))</f>
        <v/>
      </c>
      <c r="H14" s="22">
        <f>INDEX(席位数_三情景!$B$11:$D$11,1,MATCH(假设!$B$4,{"悲观","基准","乐观"},0))</f>
        <v/>
      </c>
      <c r="I14" s="23">
        <f>IF(G14=0,0,L14/G14)</f>
        <v/>
      </c>
      <c r="J14" s="23">
        <f>H14*假设!$B$7</f>
        <v/>
      </c>
      <c r="K14" s="23">
        <f>J14*12</f>
        <v/>
      </c>
      <c r="L14" s="23">
        <f>J14</f>
        <v/>
      </c>
      <c r="M14" s="23">
        <f>假设!$B$24+假设!$B$25*G14+L14*假设!$B$26+假设!$B$29</f>
        <v/>
      </c>
      <c r="N14" s="23">
        <f>INDEX(客户支持_三情景!$B$11:$D$11,1,MATCH(假设!$B$4,{"悲观","基准","乐观"},0))</f>
        <v/>
      </c>
      <c r="O14" s="23">
        <f>L14-M14-N14</f>
        <v/>
      </c>
      <c r="P14" s="24">
        <f>IF(L14=0,0,O14/L14)</f>
        <v/>
      </c>
      <c r="Q14" s="23">
        <f>INDEX(研发_三情景!$B$11:$D$11,1,MATCH(假设!$B$4,{"悲观","基准","乐观"},0))</f>
        <v/>
      </c>
      <c r="R14" s="23">
        <f>INDEX(销售市场_三情景!$B$11:$D$11,1,MATCH(假设!$B$4,{"悲观","基准","乐观"},0))</f>
        <v/>
      </c>
      <c r="S14" s="23">
        <f>INDEX(管理行政_三情景!$B$11:$D$11,1,MATCH(假设!$B$4,{"悲观","基准","乐观"},0))</f>
        <v/>
      </c>
      <c r="T14" s="23">
        <f>O14-Q14-R14-S14</f>
        <v/>
      </c>
      <c r="U14" s="23">
        <f>T14-W14-X14</f>
        <v/>
      </c>
      <c r="V14" s="23">
        <f>假设!$B$33+SUM($U$5:U14)+SUM($Y$5:Y14)-SUM($Z$5:Z14)</f>
        <v/>
      </c>
      <c r="W14" s="23">
        <f>INDEX(营运资本_三情景!$B$11:$D$11,1,MATCH(假设!$B$4,{"悲观","基准","乐观"},0))</f>
        <v/>
      </c>
      <c r="X14" s="23">
        <f>INDEX(税金_三情景!$B$11:$D$11,1,MATCH(假设!$B$4,{"悲观","基准","乐观"},0))</f>
        <v/>
      </c>
      <c r="Y14" s="23">
        <f>IF($A14=18,假设!$B$35,0)</f>
        <v/>
      </c>
      <c r="Z14" s="23">
        <f>L14*假设!$B$30</f>
        <v/>
      </c>
    </row>
    <row r="15">
      <c r="A15" s="17" t="n">
        <v>11</v>
      </c>
      <c r="B15" s="18">
        <f>INDEX(注册量_三情景!$B$12:$D$12,1,MATCH(假设!$B$4,{"悲观","基准","乐观"},0))</f>
        <v/>
      </c>
      <c r="C15" s="18">
        <f>B15*INDEX(转化率_三情景!$B$12:$D$12,1,MATCH(假设!$B$4,{"悲观","基准","乐观"},0))</f>
        <v/>
      </c>
      <c r="D15" s="18">
        <f>INDEX(AE数_三情景!$B$12:$D$12,1,MATCH(假设!$B$4,{"悲观","基准","乐观"},0))*INDEX(AE人效_三情景!$B$12:$D$12,1,MATCH(假设!$B$4,{"悲观","基准","乐观"},0))</f>
        <v/>
      </c>
      <c r="E15" s="18">
        <f>C15+D15</f>
        <v/>
      </c>
      <c r="F15" s="18">
        <f>INDEX(流失_三情景!$B$12:$D$12,1,MATCH(假设!$B$4,{"悲观","基准","乐观"},0))</f>
        <v/>
      </c>
      <c r="G15" s="18">
        <f>INDEX(客户数_三情景!$B$12:$D$12,1,MATCH(假设!$B$4,{"悲观","基准","乐观"},0))</f>
        <v/>
      </c>
      <c r="H15" s="18">
        <f>INDEX(席位数_三情景!$B$12:$D$12,1,MATCH(假设!$B$4,{"悲观","基准","乐观"},0))</f>
        <v/>
      </c>
      <c r="I15" s="19">
        <f>IF(G15=0,0,L15/G15)</f>
        <v/>
      </c>
      <c r="J15" s="19">
        <f>H15*假设!$B$7</f>
        <v/>
      </c>
      <c r="K15" s="19">
        <f>J15*12</f>
        <v/>
      </c>
      <c r="L15" s="19">
        <f>J15</f>
        <v/>
      </c>
      <c r="M15" s="19">
        <f>假设!$B$24+假设!$B$25*G15+L15*假设!$B$26+假设!$B$29</f>
        <v/>
      </c>
      <c r="N15" s="19">
        <f>INDEX(客户支持_三情景!$B$12:$D$12,1,MATCH(假设!$B$4,{"悲观","基准","乐观"},0))</f>
        <v/>
      </c>
      <c r="O15" s="19">
        <f>L15-M15-N15</f>
        <v/>
      </c>
      <c r="P15" s="20">
        <f>IF(L15=0,0,O15/L15)</f>
        <v/>
      </c>
      <c r="Q15" s="19">
        <f>INDEX(研发_三情景!$B$12:$D$12,1,MATCH(假设!$B$4,{"悲观","基准","乐观"},0))</f>
        <v/>
      </c>
      <c r="R15" s="19">
        <f>INDEX(销售市场_三情景!$B$12:$D$12,1,MATCH(假设!$B$4,{"悲观","基准","乐观"},0))</f>
        <v/>
      </c>
      <c r="S15" s="19">
        <f>INDEX(管理行政_三情景!$B$12:$D$12,1,MATCH(假设!$B$4,{"悲观","基准","乐观"},0))</f>
        <v/>
      </c>
      <c r="T15" s="19">
        <f>O15-Q15-R15-S15</f>
        <v/>
      </c>
      <c r="U15" s="19">
        <f>T15-W15-X15</f>
        <v/>
      </c>
      <c r="V15" s="19">
        <f>假设!$B$33+SUM($U$5:U15)+SUM($Y$5:Y15)-SUM($Z$5:Z15)</f>
        <v/>
      </c>
      <c r="W15" s="19">
        <f>INDEX(营运资本_三情景!$B$12:$D$12,1,MATCH(假设!$B$4,{"悲观","基准","乐观"},0))</f>
        <v/>
      </c>
      <c r="X15" s="19">
        <f>INDEX(税金_三情景!$B$12:$D$12,1,MATCH(假设!$B$4,{"悲观","基准","乐观"},0))</f>
        <v/>
      </c>
      <c r="Y15" s="19">
        <f>IF($A15=18,假设!$B$35,0)</f>
        <v/>
      </c>
      <c r="Z15" s="19">
        <f>L15*假设!$B$30</f>
        <v/>
      </c>
    </row>
    <row r="16">
      <c r="A16" s="21" t="n">
        <v>12</v>
      </c>
      <c r="B16" s="22">
        <f>INDEX(注册量_三情景!$B$13:$D$13,1,MATCH(假设!$B$4,{"悲观","基准","乐观"},0))</f>
        <v/>
      </c>
      <c r="C16" s="22">
        <f>B16*INDEX(转化率_三情景!$B$13:$D$13,1,MATCH(假设!$B$4,{"悲观","基准","乐观"},0))</f>
        <v/>
      </c>
      <c r="D16" s="22">
        <f>INDEX(AE数_三情景!$B$13:$D$13,1,MATCH(假设!$B$4,{"悲观","基准","乐观"},0))*INDEX(AE人效_三情景!$B$13:$D$13,1,MATCH(假设!$B$4,{"悲观","基准","乐观"},0))</f>
        <v/>
      </c>
      <c r="E16" s="22">
        <f>C16+D16</f>
        <v/>
      </c>
      <c r="F16" s="22">
        <f>INDEX(流失_三情景!$B$13:$D$13,1,MATCH(假设!$B$4,{"悲观","基准","乐观"},0))</f>
        <v/>
      </c>
      <c r="G16" s="22">
        <f>INDEX(客户数_三情景!$B$13:$D$13,1,MATCH(假设!$B$4,{"悲观","基准","乐观"},0))</f>
        <v/>
      </c>
      <c r="H16" s="22">
        <f>INDEX(席位数_三情景!$B$13:$D$13,1,MATCH(假设!$B$4,{"悲观","基准","乐观"},0))</f>
        <v/>
      </c>
      <c r="I16" s="23">
        <f>IF(G16=0,0,L16/G16)</f>
        <v/>
      </c>
      <c r="J16" s="23">
        <f>H16*假设!$B$7</f>
        <v/>
      </c>
      <c r="K16" s="23">
        <f>J16*12</f>
        <v/>
      </c>
      <c r="L16" s="23">
        <f>J16</f>
        <v/>
      </c>
      <c r="M16" s="23">
        <f>假设!$B$24+假设!$B$25*G16+L16*假设!$B$26+假设!$B$29</f>
        <v/>
      </c>
      <c r="N16" s="23">
        <f>INDEX(客户支持_三情景!$B$13:$D$13,1,MATCH(假设!$B$4,{"悲观","基准","乐观"},0))</f>
        <v/>
      </c>
      <c r="O16" s="23">
        <f>L16-M16-N16</f>
        <v/>
      </c>
      <c r="P16" s="24">
        <f>IF(L16=0,0,O16/L16)</f>
        <v/>
      </c>
      <c r="Q16" s="23">
        <f>INDEX(研发_三情景!$B$13:$D$13,1,MATCH(假设!$B$4,{"悲观","基准","乐观"},0))</f>
        <v/>
      </c>
      <c r="R16" s="23">
        <f>INDEX(销售市场_三情景!$B$13:$D$13,1,MATCH(假设!$B$4,{"悲观","基准","乐观"},0))</f>
        <v/>
      </c>
      <c r="S16" s="23">
        <f>INDEX(管理行政_三情景!$B$13:$D$13,1,MATCH(假设!$B$4,{"悲观","基准","乐观"},0))</f>
        <v/>
      </c>
      <c r="T16" s="23">
        <f>O16-Q16-R16-S16</f>
        <v/>
      </c>
      <c r="U16" s="23">
        <f>T16-W16-X16</f>
        <v/>
      </c>
      <c r="V16" s="23">
        <f>假设!$B$33+SUM($U$5:U16)+SUM($Y$5:Y16)-SUM($Z$5:Z16)</f>
        <v/>
      </c>
      <c r="W16" s="23">
        <f>INDEX(营运资本_三情景!$B$13:$D$13,1,MATCH(假设!$B$4,{"悲观","基准","乐观"},0))</f>
        <v/>
      </c>
      <c r="X16" s="23">
        <f>INDEX(税金_三情景!$B$13:$D$13,1,MATCH(假设!$B$4,{"悲观","基准","乐观"},0))</f>
        <v/>
      </c>
      <c r="Y16" s="23">
        <f>IF($A16=18,假设!$B$35,0)</f>
        <v/>
      </c>
      <c r="Z16" s="23">
        <f>L16*假设!$B$30</f>
        <v/>
      </c>
    </row>
    <row r="17">
      <c r="A17" s="17" t="n">
        <v>13</v>
      </c>
      <c r="B17" s="18">
        <f>INDEX(注册量_三情景!$B$14:$D$14,1,MATCH(假设!$B$4,{"悲观","基准","乐观"},0))</f>
        <v/>
      </c>
      <c r="C17" s="18">
        <f>B17*INDEX(转化率_三情景!$B$14:$D$14,1,MATCH(假设!$B$4,{"悲观","基准","乐观"},0))</f>
        <v/>
      </c>
      <c r="D17" s="18">
        <f>INDEX(AE数_三情景!$B$14:$D$14,1,MATCH(假设!$B$4,{"悲观","基准","乐观"},0))*INDEX(AE人效_三情景!$B$14:$D$14,1,MATCH(假设!$B$4,{"悲观","基准","乐观"},0))</f>
        <v/>
      </c>
      <c r="E17" s="18">
        <f>C17+D17</f>
        <v/>
      </c>
      <c r="F17" s="18">
        <f>INDEX(流失_三情景!$B$14:$D$14,1,MATCH(假设!$B$4,{"悲观","基准","乐观"},0))</f>
        <v/>
      </c>
      <c r="G17" s="18">
        <f>INDEX(客户数_三情景!$B$14:$D$14,1,MATCH(假设!$B$4,{"悲观","基准","乐观"},0))</f>
        <v/>
      </c>
      <c r="H17" s="18">
        <f>INDEX(席位数_三情景!$B$14:$D$14,1,MATCH(假设!$B$4,{"悲观","基准","乐观"},0))</f>
        <v/>
      </c>
      <c r="I17" s="19">
        <f>IF(G17=0,0,L17/G17)</f>
        <v/>
      </c>
      <c r="J17" s="19">
        <f>H17*假设!$B$7</f>
        <v/>
      </c>
      <c r="K17" s="19">
        <f>J17*12</f>
        <v/>
      </c>
      <c r="L17" s="19">
        <f>J17</f>
        <v/>
      </c>
      <c r="M17" s="19">
        <f>假设!$B$24+假设!$B$25*G17+L17*假设!$B$26+假设!$B$29</f>
        <v/>
      </c>
      <c r="N17" s="19">
        <f>INDEX(客户支持_三情景!$B$14:$D$14,1,MATCH(假设!$B$4,{"悲观","基准","乐观"},0))</f>
        <v/>
      </c>
      <c r="O17" s="19">
        <f>L17-M17-N17</f>
        <v/>
      </c>
      <c r="P17" s="20">
        <f>IF(L17=0,0,O17/L17)</f>
        <v/>
      </c>
      <c r="Q17" s="19">
        <f>INDEX(研发_三情景!$B$14:$D$14,1,MATCH(假设!$B$4,{"悲观","基准","乐观"},0))</f>
        <v/>
      </c>
      <c r="R17" s="19">
        <f>INDEX(销售市场_三情景!$B$14:$D$14,1,MATCH(假设!$B$4,{"悲观","基准","乐观"},0))</f>
        <v/>
      </c>
      <c r="S17" s="19">
        <f>INDEX(管理行政_三情景!$B$14:$D$14,1,MATCH(假设!$B$4,{"悲观","基准","乐观"},0))</f>
        <v/>
      </c>
      <c r="T17" s="19">
        <f>O17-Q17-R17-S17</f>
        <v/>
      </c>
      <c r="U17" s="19">
        <f>T17-W17-X17</f>
        <v/>
      </c>
      <c r="V17" s="19">
        <f>假设!$B$33+SUM($U$5:U17)+SUM($Y$5:Y17)-SUM($Z$5:Z17)</f>
        <v/>
      </c>
      <c r="W17" s="19">
        <f>INDEX(营运资本_三情景!$B$14:$D$14,1,MATCH(假设!$B$4,{"悲观","基准","乐观"},0))</f>
        <v/>
      </c>
      <c r="X17" s="19">
        <f>INDEX(税金_三情景!$B$14:$D$14,1,MATCH(假设!$B$4,{"悲观","基准","乐观"},0))</f>
        <v/>
      </c>
      <c r="Y17" s="19">
        <f>IF($A17=18,假设!$B$35,0)</f>
        <v/>
      </c>
      <c r="Z17" s="19">
        <f>L17*假设!$B$30</f>
        <v/>
      </c>
    </row>
    <row r="18">
      <c r="A18" s="21" t="n">
        <v>14</v>
      </c>
      <c r="B18" s="22">
        <f>INDEX(注册量_三情景!$B$15:$D$15,1,MATCH(假设!$B$4,{"悲观","基准","乐观"},0))</f>
        <v/>
      </c>
      <c r="C18" s="22">
        <f>B18*INDEX(转化率_三情景!$B$15:$D$15,1,MATCH(假设!$B$4,{"悲观","基准","乐观"},0))</f>
        <v/>
      </c>
      <c r="D18" s="22">
        <f>INDEX(AE数_三情景!$B$15:$D$15,1,MATCH(假设!$B$4,{"悲观","基准","乐观"},0))*INDEX(AE人效_三情景!$B$15:$D$15,1,MATCH(假设!$B$4,{"悲观","基准","乐观"},0))</f>
        <v/>
      </c>
      <c r="E18" s="22">
        <f>C18+D18</f>
        <v/>
      </c>
      <c r="F18" s="22">
        <f>INDEX(流失_三情景!$B$15:$D$15,1,MATCH(假设!$B$4,{"悲观","基准","乐观"},0))</f>
        <v/>
      </c>
      <c r="G18" s="22">
        <f>INDEX(客户数_三情景!$B$15:$D$15,1,MATCH(假设!$B$4,{"悲观","基准","乐观"},0))</f>
        <v/>
      </c>
      <c r="H18" s="22">
        <f>INDEX(席位数_三情景!$B$15:$D$15,1,MATCH(假设!$B$4,{"悲观","基准","乐观"},0))</f>
        <v/>
      </c>
      <c r="I18" s="23">
        <f>IF(G18=0,0,L18/G18)</f>
        <v/>
      </c>
      <c r="J18" s="23">
        <f>H18*假设!$B$7</f>
        <v/>
      </c>
      <c r="K18" s="23">
        <f>J18*12</f>
        <v/>
      </c>
      <c r="L18" s="23">
        <f>J18</f>
        <v/>
      </c>
      <c r="M18" s="23">
        <f>假设!$B$24+假设!$B$25*G18+L18*假设!$B$26+假设!$B$29</f>
        <v/>
      </c>
      <c r="N18" s="23">
        <f>INDEX(客户支持_三情景!$B$15:$D$15,1,MATCH(假设!$B$4,{"悲观","基准","乐观"},0))</f>
        <v/>
      </c>
      <c r="O18" s="23">
        <f>L18-M18-N18</f>
        <v/>
      </c>
      <c r="P18" s="24">
        <f>IF(L18=0,0,O18/L18)</f>
        <v/>
      </c>
      <c r="Q18" s="23">
        <f>INDEX(研发_三情景!$B$15:$D$15,1,MATCH(假设!$B$4,{"悲观","基准","乐观"},0))</f>
        <v/>
      </c>
      <c r="R18" s="23">
        <f>INDEX(销售市场_三情景!$B$15:$D$15,1,MATCH(假设!$B$4,{"悲观","基准","乐观"},0))</f>
        <v/>
      </c>
      <c r="S18" s="23">
        <f>INDEX(管理行政_三情景!$B$15:$D$15,1,MATCH(假设!$B$4,{"悲观","基准","乐观"},0))</f>
        <v/>
      </c>
      <c r="T18" s="23">
        <f>O18-Q18-R18-S18</f>
        <v/>
      </c>
      <c r="U18" s="23">
        <f>T18-W18-X18</f>
        <v/>
      </c>
      <c r="V18" s="23">
        <f>假设!$B$33+SUM($U$5:U18)+SUM($Y$5:Y18)-SUM($Z$5:Z18)</f>
        <v/>
      </c>
      <c r="W18" s="23">
        <f>INDEX(营运资本_三情景!$B$15:$D$15,1,MATCH(假设!$B$4,{"悲观","基准","乐观"},0))</f>
        <v/>
      </c>
      <c r="X18" s="23">
        <f>INDEX(税金_三情景!$B$15:$D$15,1,MATCH(假设!$B$4,{"悲观","基准","乐观"},0))</f>
        <v/>
      </c>
      <c r="Y18" s="23">
        <f>IF($A18=18,假设!$B$35,0)</f>
        <v/>
      </c>
      <c r="Z18" s="23">
        <f>L18*假设!$B$30</f>
        <v/>
      </c>
    </row>
    <row r="19">
      <c r="A19" s="17" t="n">
        <v>15</v>
      </c>
      <c r="B19" s="18">
        <f>INDEX(注册量_三情景!$B$16:$D$16,1,MATCH(假设!$B$4,{"悲观","基准","乐观"},0))</f>
        <v/>
      </c>
      <c r="C19" s="18">
        <f>B19*INDEX(转化率_三情景!$B$16:$D$16,1,MATCH(假设!$B$4,{"悲观","基准","乐观"},0))</f>
        <v/>
      </c>
      <c r="D19" s="18">
        <f>INDEX(AE数_三情景!$B$16:$D$16,1,MATCH(假设!$B$4,{"悲观","基准","乐观"},0))*INDEX(AE人效_三情景!$B$16:$D$16,1,MATCH(假设!$B$4,{"悲观","基准","乐观"},0))</f>
        <v/>
      </c>
      <c r="E19" s="18">
        <f>C19+D19</f>
        <v/>
      </c>
      <c r="F19" s="18">
        <f>INDEX(流失_三情景!$B$16:$D$16,1,MATCH(假设!$B$4,{"悲观","基准","乐观"},0))</f>
        <v/>
      </c>
      <c r="G19" s="18">
        <f>INDEX(客户数_三情景!$B$16:$D$16,1,MATCH(假设!$B$4,{"悲观","基准","乐观"},0))</f>
        <v/>
      </c>
      <c r="H19" s="18">
        <f>INDEX(席位数_三情景!$B$16:$D$16,1,MATCH(假设!$B$4,{"悲观","基准","乐观"},0))</f>
        <v/>
      </c>
      <c r="I19" s="19">
        <f>IF(G19=0,0,L19/G19)</f>
        <v/>
      </c>
      <c r="J19" s="19">
        <f>H19*假设!$B$7</f>
        <v/>
      </c>
      <c r="K19" s="19">
        <f>J19*12</f>
        <v/>
      </c>
      <c r="L19" s="19">
        <f>J19</f>
        <v/>
      </c>
      <c r="M19" s="19">
        <f>假设!$B$24+假设!$B$25*G19+L19*假设!$B$26+假设!$B$29</f>
        <v/>
      </c>
      <c r="N19" s="19">
        <f>INDEX(客户支持_三情景!$B$16:$D$16,1,MATCH(假设!$B$4,{"悲观","基准","乐观"},0))</f>
        <v/>
      </c>
      <c r="O19" s="19">
        <f>L19-M19-N19</f>
        <v/>
      </c>
      <c r="P19" s="20">
        <f>IF(L19=0,0,O19/L19)</f>
        <v/>
      </c>
      <c r="Q19" s="19">
        <f>INDEX(研发_三情景!$B$16:$D$16,1,MATCH(假设!$B$4,{"悲观","基准","乐观"},0))</f>
        <v/>
      </c>
      <c r="R19" s="19">
        <f>INDEX(销售市场_三情景!$B$16:$D$16,1,MATCH(假设!$B$4,{"悲观","基准","乐观"},0))</f>
        <v/>
      </c>
      <c r="S19" s="19">
        <f>INDEX(管理行政_三情景!$B$16:$D$16,1,MATCH(假设!$B$4,{"悲观","基准","乐观"},0))</f>
        <v/>
      </c>
      <c r="T19" s="19">
        <f>O19-Q19-R19-S19</f>
        <v/>
      </c>
      <c r="U19" s="19">
        <f>T19-W19-X19</f>
        <v/>
      </c>
      <c r="V19" s="19">
        <f>假设!$B$33+SUM($U$5:U19)+SUM($Y$5:Y19)-SUM($Z$5:Z19)</f>
        <v/>
      </c>
      <c r="W19" s="19">
        <f>INDEX(营运资本_三情景!$B$16:$D$16,1,MATCH(假设!$B$4,{"悲观","基准","乐观"},0))</f>
        <v/>
      </c>
      <c r="X19" s="19">
        <f>INDEX(税金_三情景!$B$16:$D$16,1,MATCH(假设!$B$4,{"悲观","基准","乐观"},0))</f>
        <v/>
      </c>
      <c r="Y19" s="19">
        <f>IF($A19=18,假设!$B$35,0)</f>
        <v/>
      </c>
      <c r="Z19" s="19">
        <f>L19*假设!$B$30</f>
        <v/>
      </c>
    </row>
    <row r="20">
      <c r="A20" s="21" t="n">
        <v>16</v>
      </c>
      <c r="B20" s="22">
        <f>INDEX(注册量_三情景!$B$17:$D$17,1,MATCH(假设!$B$4,{"悲观","基准","乐观"},0))</f>
        <v/>
      </c>
      <c r="C20" s="22">
        <f>B20*INDEX(转化率_三情景!$B$17:$D$17,1,MATCH(假设!$B$4,{"悲观","基准","乐观"},0))</f>
        <v/>
      </c>
      <c r="D20" s="22">
        <f>INDEX(AE数_三情景!$B$17:$D$17,1,MATCH(假设!$B$4,{"悲观","基准","乐观"},0))*INDEX(AE人效_三情景!$B$17:$D$17,1,MATCH(假设!$B$4,{"悲观","基准","乐观"},0))</f>
        <v/>
      </c>
      <c r="E20" s="22">
        <f>C20+D20</f>
        <v/>
      </c>
      <c r="F20" s="22">
        <f>INDEX(流失_三情景!$B$17:$D$17,1,MATCH(假设!$B$4,{"悲观","基准","乐观"},0))</f>
        <v/>
      </c>
      <c r="G20" s="22">
        <f>INDEX(客户数_三情景!$B$17:$D$17,1,MATCH(假设!$B$4,{"悲观","基准","乐观"},0))</f>
        <v/>
      </c>
      <c r="H20" s="22">
        <f>INDEX(席位数_三情景!$B$17:$D$17,1,MATCH(假设!$B$4,{"悲观","基准","乐观"},0))</f>
        <v/>
      </c>
      <c r="I20" s="23">
        <f>IF(G20=0,0,L20/G20)</f>
        <v/>
      </c>
      <c r="J20" s="23">
        <f>H20*假设!$B$7</f>
        <v/>
      </c>
      <c r="K20" s="23">
        <f>J20*12</f>
        <v/>
      </c>
      <c r="L20" s="23">
        <f>J20</f>
        <v/>
      </c>
      <c r="M20" s="23">
        <f>假设!$B$24+假设!$B$25*G20+L20*假设!$B$26+假设!$B$29</f>
        <v/>
      </c>
      <c r="N20" s="23">
        <f>INDEX(客户支持_三情景!$B$17:$D$17,1,MATCH(假设!$B$4,{"悲观","基准","乐观"},0))</f>
        <v/>
      </c>
      <c r="O20" s="23">
        <f>L20-M20-N20</f>
        <v/>
      </c>
      <c r="P20" s="24">
        <f>IF(L20=0,0,O20/L20)</f>
        <v/>
      </c>
      <c r="Q20" s="23">
        <f>INDEX(研发_三情景!$B$17:$D$17,1,MATCH(假设!$B$4,{"悲观","基准","乐观"},0))</f>
        <v/>
      </c>
      <c r="R20" s="23">
        <f>INDEX(销售市场_三情景!$B$17:$D$17,1,MATCH(假设!$B$4,{"悲观","基准","乐观"},0))</f>
        <v/>
      </c>
      <c r="S20" s="23">
        <f>INDEX(管理行政_三情景!$B$17:$D$17,1,MATCH(假设!$B$4,{"悲观","基准","乐观"},0))</f>
        <v/>
      </c>
      <c r="T20" s="23">
        <f>O20-Q20-R20-S20</f>
        <v/>
      </c>
      <c r="U20" s="23">
        <f>T20-W20-X20</f>
        <v/>
      </c>
      <c r="V20" s="23">
        <f>假设!$B$33+SUM($U$5:U20)+SUM($Y$5:Y20)-SUM($Z$5:Z20)</f>
        <v/>
      </c>
      <c r="W20" s="23">
        <f>INDEX(营运资本_三情景!$B$17:$D$17,1,MATCH(假设!$B$4,{"悲观","基准","乐观"},0))</f>
        <v/>
      </c>
      <c r="X20" s="23">
        <f>INDEX(税金_三情景!$B$17:$D$17,1,MATCH(假设!$B$4,{"悲观","基准","乐观"},0))</f>
        <v/>
      </c>
      <c r="Y20" s="23">
        <f>IF($A20=18,假设!$B$35,0)</f>
        <v/>
      </c>
      <c r="Z20" s="23">
        <f>L20*假设!$B$30</f>
        <v/>
      </c>
    </row>
    <row r="21">
      <c r="A21" s="17" t="n">
        <v>17</v>
      </c>
      <c r="B21" s="18">
        <f>INDEX(注册量_三情景!$B$18:$D$18,1,MATCH(假设!$B$4,{"悲观","基准","乐观"},0))</f>
        <v/>
      </c>
      <c r="C21" s="18">
        <f>B21*INDEX(转化率_三情景!$B$18:$D$18,1,MATCH(假设!$B$4,{"悲观","基准","乐观"},0))</f>
        <v/>
      </c>
      <c r="D21" s="18">
        <f>INDEX(AE数_三情景!$B$18:$D$18,1,MATCH(假设!$B$4,{"悲观","基准","乐观"},0))*INDEX(AE人效_三情景!$B$18:$D$18,1,MATCH(假设!$B$4,{"悲观","基准","乐观"},0))</f>
        <v/>
      </c>
      <c r="E21" s="18">
        <f>C21+D21</f>
        <v/>
      </c>
      <c r="F21" s="18">
        <f>INDEX(流失_三情景!$B$18:$D$18,1,MATCH(假设!$B$4,{"悲观","基准","乐观"},0))</f>
        <v/>
      </c>
      <c r="G21" s="18">
        <f>INDEX(客户数_三情景!$B$18:$D$18,1,MATCH(假设!$B$4,{"悲观","基准","乐观"},0))</f>
        <v/>
      </c>
      <c r="H21" s="18">
        <f>INDEX(席位数_三情景!$B$18:$D$18,1,MATCH(假设!$B$4,{"悲观","基准","乐观"},0))</f>
        <v/>
      </c>
      <c r="I21" s="19">
        <f>IF(G21=0,0,L21/G21)</f>
        <v/>
      </c>
      <c r="J21" s="19">
        <f>H21*假设!$B$7</f>
        <v/>
      </c>
      <c r="K21" s="19">
        <f>J21*12</f>
        <v/>
      </c>
      <c r="L21" s="19">
        <f>J21</f>
        <v/>
      </c>
      <c r="M21" s="19">
        <f>假设!$B$24+假设!$B$25*G21+L21*假设!$B$26+假设!$B$29</f>
        <v/>
      </c>
      <c r="N21" s="19">
        <f>INDEX(客户支持_三情景!$B$18:$D$18,1,MATCH(假设!$B$4,{"悲观","基准","乐观"},0))</f>
        <v/>
      </c>
      <c r="O21" s="19">
        <f>L21-M21-N21</f>
        <v/>
      </c>
      <c r="P21" s="20">
        <f>IF(L21=0,0,O21/L21)</f>
        <v/>
      </c>
      <c r="Q21" s="19">
        <f>INDEX(研发_三情景!$B$18:$D$18,1,MATCH(假设!$B$4,{"悲观","基准","乐观"},0))</f>
        <v/>
      </c>
      <c r="R21" s="19">
        <f>INDEX(销售市场_三情景!$B$18:$D$18,1,MATCH(假设!$B$4,{"悲观","基准","乐观"},0))</f>
        <v/>
      </c>
      <c r="S21" s="19">
        <f>INDEX(管理行政_三情景!$B$18:$D$18,1,MATCH(假设!$B$4,{"悲观","基准","乐观"},0))</f>
        <v/>
      </c>
      <c r="T21" s="19">
        <f>O21-Q21-R21-S21</f>
        <v/>
      </c>
      <c r="U21" s="19">
        <f>T21-W21-X21</f>
        <v/>
      </c>
      <c r="V21" s="19">
        <f>假设!$B$33+SUM($U$5:U21)+SUM($Y$5:Y21)-SUM($Z$5:Z21)</f>
        <v/>
      </c>
      <c r="W21" s="19">
        <f>INDEX(营运资本_三情景!$B$18:$D$18,1,MATCH(假设!$B$4,{"悲观","基准","乐观"},0))</f>
        <v/>
      </c>
      <c r="X21" s="19">
        <f>INDEX(税金_三情景!$B$18:$D$18,1,MATCH(假设!$B$4,{"悲观","基准","乐观"},0))</f>
        <v/>
      </c>
      <c r="Y21" s="19">
        <f>IF($A21=18,假设!$B$35,0)</f>
        <v/>
      </c>
      <c r="Z21" s="19">
        <f>L21*假设!$B$30</f>
        <v/>
      </c>
    </row>
    <row r="22">
      <c r="A22" s="21" t="n">
        <v>18</v>
      </c>
      <c r="B22" s="22">
        <f>INDEX(注册量_三情景!$B$19:$D$19,1,MATCH(假设!$B$4,{"悲观","基准","乐观"},0))</f>
        <v/>
      </c>
      <c r="C22" s="22">
        <f>B22*INDEX(转化率_三情景!$B$19:$D$19,1,MATCH(假设!$B$4,{"悲观","基准","乐观"},0))</f>
        <v/>
      </c>
      <c r="D22" s="22">
        <f>INDEX(AE数_三情景!$B$19:$D$19,1,MATCH(假设!$B$4,{"悲观","基准","乐观"},0))*INDEX(AE人效_三情景!$B$19:$D$19,1,MATCH(假设!$B$4,{"悲观","基准","乐观"},0))</f>
        <v/>
      </c>
      <c r="E22" s="22">
        <f>C22+D22</f>
        <v/>
      </c>
      <c r="F22" s="22">
        <f>INDEX(流失_三情景!$B$19:$D$19,1,MATCH(假设!$B$4,{"悲观","基准","乐观"},0))</f>
        <v/>
      </c>
      <c r="G22" s="22">
        <f>INDEX(客户数_三情景!$B$19:$D$19,1,MATCH(假设!$B$4,{"悲观","基准","乐观"},0))</f>
        <v/>
      </c>
      <c r="H22" s="22">
        <f>INDEX(席位数_三情景!$B$19:$D$19,1,MATCH(假设!$B$4,{"悲观","基准","乐观"},0))</f>
        <v/>
      </c>
      <c r="I22" s="23">
        <f>IF(G22=0,0,L22/G22)</f>
        <v/>
      </c>
      <c r="J22" s="23">
        <f>H22*假设!$B$7</f>
        <v/>
      </c>
      <c r="K22" s="23">
        <f>J22*12</f>
        <v/>
      </c>
      <c r="L22" s="23">
        <f>J22</f>
        <v/>
      </c>
      <c r="M22" s="23">
        <f>假设!$B$24+假设!$B$25*G22+L22*假设!$B$26+假设!$B$29</f>
        <v/>
      </c>
      <c r="N22" s="23">
        <f>INDEX(客户支持_三情景!$B$19:$D$19,1,MATCH(假设!$B$4,{"悲观","基准","乐观"},0))</f>
        <v/>
      </c>
      <c r="O22" s="23">
        <f>L22-M22-N22</f>
        <v/>
      </c>
      <c r="P22" s="24">
        <f>IF(L22=0,0,O22/L22)</f>
        <v/>
      </c>
      <c r="Q22" s="23">
        <f>INDEX(研发_三情景!$B$19:$D$19,1,MATCH(假设!$B$4,{"悲观","基准","乐观"},0))</f>
        <v/>
      </c>
      <c r="R22" s="23">
        <f>INDEX(销售市场_三情景!$B$19:$D$19,1,MATCH(假设!$B$4,{"悲观","基准","乐观"},0))</f>
        <v/>
      </c>
      <c r="S22" s="23">
        <f>INDEX(管理行政_三情景!$B$19:$D$19,1,MATCH(假设!$B$4,{"悲观","基准","乐观"},0))</f>
        <v/>
      </c>
      <c r="T22" s="23">
        <f>O22-Q22-R22-S22</f>
        <v/>
      </c>
      <c r="U22" s="23">
        <f>T22-W22-X22</f>
        <v/>
      </c>
      <c r="V22" s="23">
        <f>假设!$B$33+SUM($U$5:U22)+SUM($Y$5:Y22)-SUM($Z$5:Z22)</f>
        <v/>
      </c>
      <c r="W22" s="23">
        <f>INDEX(营运资本_三情景!$B$19:$D$19,1,MATCH(假设!$B$4,{"悲观","基准","乐观"},0))</f>
        <v/>
      </c>
      <c r="X22" s="23">
        <f>INDEX(税金_三情景!$B$19:$D$19,1,MATCH(假设!$B$4,{"悲观","基准","乐观"},0))</f>
        <v/>
      </c>
      <c r="Y22" s="23">
        <f>IF($A22=18,假设!$B$35,0)</f>
        <v/>
      </c>
      <c r="Z22" s="23">
        <f>L22*假设!$B$30</f>
        <v/>
      </c>
    </row>
    <row r="23">
      <c r="A23" s="17" t="n">
        <v>19</v>
      </c>
      <c r="B23" s="18">
        <f>INDEX(注册量_三情景!$B$20:$D$20,1,MATCH(假设!$B$4,{"悲观","基准","乐观"},0))</f>
        <v/>
      </c>
      <c r="C23" s="18">
        <f>B23*INDEX(转化率_三情景!$B$20:$D$20,1,MATCH(假设!$B$4,{"悲观","基准","乐观"},0))</f>
        <v/>
      </c>
      <c r="D23" s="18">
        <f>INDEX(AE数_三情景!$B$20:$D$20,1,MATCH(假设!$B$4,{"悲观","基准","乐观"},0))*INDEX(AE人效_三情景!$B$20:$D$20,1,MATCH(假设!$B$4,{"悲观","基准","乐观"},0))</f>
        <v/>
      </c>
      <c r="E23" s="18">
        <f>C23+D23</f>
        <v/>
      </c>
      <c r="F23" s="18">
        <f>INDEX(流失_三情景!$B$20:$D$20,1,MATCH(假设!$B$4,{"悲观","基准","乐观"},0))</f>
        <v/>
      </c>
      <c r="G23" s="18">
        <f>INDEX(客户数_三情景!$B$20:$D$20,1,MATCH(假设!$B$4,{"悲观","基准","乐观"},0))</f>
        <v/>
      </c>
      <c r="H23" s="18">
        <f>INDEX(席位数_三情景!$B$20:$D$20,1,MATCH(假设!$B$4,{"悲观","基准","乐观"},0))</f>
        <v/>
      </c>
      <c r="I23" s="19">
        <f>IF(G23=0,0,L23/G23)</f>
        <v/>
      </c>
      <c r="J23" s="19">
        <f>H23*假设!$B$7</f>
        <v/>
      </c>
      <c r="K23" s="19">
        <f>J23*12</f>
        <v/>
      </c>
      <c r="L23" s="19">
        <f>J23</f>
        <v/>
      </c>
      <c r="M23" s="19">
        <f>假设!$B$24+假设!$B$25*G23+L23*假设!$B$26+假设!$B$29</f>
        <v/>
      </c>
      <c r="N23" s="19">
        <f>INDEX(客户支持_三情景!$B$20:$D$20,1,MATCH(假设!$B$4,{"悲观","基准","乐观"},0))</f>
        <v/>
      </c>
      <c r="O23" s="19">
        <f>L23-M23-N23</f>
        <v/>
      </c>
      <c r="P23" s="20">
        <f>IF(L23=0,0,O23/L23)</f>
        <v/>
      </c>
      <c r="Q23" s="19">
        <f>INDEX(研发_三情景!$B$20:$D$20,1,MATCH(假设!$B$4,{"悲观","基准","乐观"},0))</f>
        <v/>
      </c>
      <c r="R23" s="19">
        <f>INDEX(销售市场_三情景!$B$20:$D$20,1,MATCH(假设!$B$4,{"悲观","基准","乐观"},0))</f>
        <v/>
      </c>
      <c r="S23" s="19">
        <f>INDEX(管理行政_三情景!$B$20:$D$20,1,MATCH(假设!$B$4,{"悲观","基准","乐观"},0))</f>
        <v/>
      </c>
      <c r="T23" s="19">
        <f>O23-Q23-R23-S23</f>
        <v/>
      </c>
      <c r="U23" s="19">
        <f>T23-W23-X23</f>
        <v/>
      </c>
      <c r="V23" s="19">
        <f>假设!$B$33+SUM($U$5:U23)+SUM($Y$5:Y23)-SUM($Z$5:Z23)</f>
        <v/>
      </c>
      <c r="W23" s="19">
        <f>INDEX(营运资本_三情景!$B$20:$D$20,1,MATCH(假设!$B$4,{"悲观","基准","乐观"},0))</f>
        <v/>
      </c>
      <c r="X23" s="19">
        <f>INDEX(税金_三情景!$B$20:$D$20,1,MATCH(假设!$B$4,{"悲观","基准","乐观"},0))</f>
        <v/>
      </c>
      <c r="Y23" s="19">
        <f>IF($A23=18,假设!$B$35,0)</f>
        <v/>
      </c>
      <c r="Z23" s="19">
        <f>L23*假设!$B$30</f>
        <v/>
      </c>
    </row>
    <row r="24">
      <c r="A24" s="21" t="n">
        <v>20</v>
      </c>
      <c r="B24" s="22">
        <f>INDEX(注册量_三情景!$B$21:$D$21,1,MATCH(假设!$B$4,{"悲观","基准","乐观"},0))</f>
        <v/>
      </c>
      <c r="C24" s="22">
        <f>B24*INDEX(转化率_三情景!$B$21:$D$21,1,MATCH(假设!$B$4,{"悲观","基准","乐观"},0))</f>
        <v/>
      </c>
      <c r="D24" s="22">
        <f>INDEX(AE数_三情景!$B$21:$D$21,1,MATCH(假设!$B$4,{"悲观","基准","乐观"},0))*INDEX(AE人效_三情景!$B$21:$D$21,1,MATCH(假设!$B$4,{"悲观","基准","乐观"},0))</f>
        <v/>
      </c>
      <c r="E24" s="22">
        <f>C24+D24</f>
        <v/>
      </c>
      <c r="F24" s="22">
        <f>INDEX(流失_三情景!$B$21:$D$21,1,MATCH(假设!$B$4,{"悲观","基准","乐观"},0))</f>
        <v/>
      </c>
      <c r="G24" s="22">
        <f>INDEX(客户数_三情景!$B$21:$D$21,1,MATCH(假设!$B$4,{"悲观","基准","乐观"},0))</f>
        <v/>
      </c>
      <c r="H24" s="22">
        <f>INDEX(席位数_三情景!$B$21:$D$21,1,MATCH(假设!$B$4,{"悲观","基准","乐观"},0))</f>
        <v/>
      </c>
      <c r="I24" s="23">
        <f>IF(G24=0,0,L24/G24)</f>
        <v/>
      </c>
      <c r="J24" s="23">
        <f>H24*假设!$B$7</f>
        <v/>
      </c>
      <c r="K24" s="23">
        <f>J24*12</f>
        <v/>
      </c>
      <c r="L24" s="23">
        <f>J24</f>
        <v/>
      </c>
      <c r="M24" s="23">
        <f>假设!$B$24+假设!$B$25*G24+L24*假设!$B$26+假设!$B$29</f>
        <v/>
      </c>
      <c r="N24" s="23">
        <f>INDEX(客户支持_三情景!$B$21:$D$21,1,MATCH(假设!$B$4,{"悲观","基准","乐观"},0))</f>
        <v/>
      </c>
      <c r="O24" s="23">
        <f>L24-M24-N24</f>
        <v/>
      </c>
      <c r="P24" s="24">
        <f>IF(L24=0,0,O24/L24)</f>
        <v/>
      </c>
      <c r="Q24" s="23">
        <f>INDEX(研发_三情景!$B$21:$D$21,1,MATCH(假设!$B$4,{"悲观","基准","乐观"},0))</f>
        <v/>
      </c>
      <c r="R24" s="23">
        <f>INDEX(销售市场_三情景!$B$21:$D$21,1,MATCH(假设!$B$4,{"悲观","基准","乐观"},0))</f>
        <v/>
      </c>
      <c r="S24" s="23">
        <f>INDEX(管理行政_三情景!$B$21:$D$21,1,MATCH(假设!$B$4,{"悲观","基准","乐观"},0))</f>
        <v/>
      </c>
      <c r="T24" s="23">
        <f>O24-Q24-R24-S24</f>
        <v/>
      </c>
      <c r="U24" s="23">
        <f>T24-W24-X24</f>
        <v/>
      </c>
      <c r="V24" s="23">
        <f>假设!$B$33+SUM($U$5:U24)+SUM($Y$5:Y24)-SUM($Z$5:Z24)</f>
        <v/>
      </c>
      <c r="W24" s="23">
        <f>INDEX(营运资本_三情景!$B$21:$D$21,1,MATCH(假设!$B$4,{"悲观","基准","乐观"},0))</f>
        <v/>
      </c>
      <c r="X24" s="23">
        <f>INDEX(税金_三情景!$B$21:$D$21,1,MATCH(假设!$B$4,{"悲观","基准","乐观"},0))</f>
        <v/>
      </c>
      <c r="Y24" s="23">
        <f>IF($A24=18,假设!$B$35,0)</f>
        <v/>
      </c>
      <c r="Z24" s="23">
        <f>L24*假设!$B$30</f>
        <v/>
      </c>
    </row>
    <row r="25">
      <c r="A25" s="17" t="n">
        <v>21</v>
      </c>
      <c r="B25" s="18">
        <f>INDEX(注册量_三情景!$B$22:$D$22,1,MATCH(假设!$B$4,{"悲观","基准","乐观"},0))</f>
        <v/>
      </c>
      <c r="C25" s="18">
        <f>B25*INDEX(转化率_三情景!$B$22:$D$22,1,MATCH(假设!$B$4,{"悲观","基准","乐观"},0))</f>
        <v/>
      </c>
      <c r="D25" s="18">
        <f>INDEX(AE数_三情景!$B$22:$D$22,1,MATCH(假设!$B$4,{"悲观","基准","乐观"},0))*INDEX(AE人效_三情景!$B$22:$D$22,1,MATCH(假设!$B$4,{"悲观","基准","乐观"},0))</f>
        <v/>
      </c>
      <c r="E25" s="18">
        <f>C25+D25</f>
        <v/>
      </c>
      <c r="F25" s="18">
        <f>INDEX(流失_三情景!$B$22:$D$22,1,MATCH(假设!$B$4,{"悲观","基准","乐观"},0))</f>
        <v/>
      </c>
      <c r="G25" s="18">
        <f>INDEX(客户数_三情景!$B$22:$D$22,1,MATCH(假设!$B$4,{"悲观","基准","乐观"},0))</f>
        <v/>
      </c>
      <c r="H25" s="18">
        <f>INDEX(席位数_三情景!$B$22:$D$22,1,MATCH(假设!$B$4,{"悲观","基准","乐观"},0))</f>
        <v/>
      </c>
      <c r="I25" s="19">
        <f>IF(G25=0,0,L25/G25)</f>
        <v/>
      </c>
      <c r="J25" s="19">
        <f>H25*假设!$B$7</f>
        <v/>
      </c>
      <c r="K25" s="19">
        <f>J25*12</f>
        <v/>
      </c>
      <c r="L25" s="19">
        <f>J25</f>
        <v/>
      </c>
      <c r="M25" s="19">
        <f>假设!$B$24+假设!$B$25*G25+L25*假设!$B$26+假设!$B$29</f>
        <v/>
      </c>
      <c r="N25" s="19">
        <f>INDEX(客户支持_三情景!$B$22:$D$22,1,MATCH(假设!$B$4,{"悲观","基准","乐观"},0))</f>
        <v/>
      </c>
      <c r="O25" s="19">
        <f>L25-M25-N25</f>
        <v/>
      </c>
      <c r="P25" s="20">
        <f>IF(L25=0,0,O25/L25)</f>
        <v/>
      </c>
      <c r="Q25" s="19">
        <f>INDEX(研发_三情景!$B$22:$D$22,1,MATCH(假设!$B$4,{"悲观","基准","乐观"},0))</f>
        <v/>
      </c>
      <c r="R25" s="19">
        <f>INDEX(销售市场_三情景!$B$22:$D$22,1,MATCH(假设!$B$4,{"悲观","基准","乐观"},0))</f>
        <v/>
      </c>
      <c r="S25" s="19">
        <f>INDEX(管理行政_三情景!$B$22:$D$22,1,MATCH(假设!$B$4,{"悲观","基准","乐观"},0))</f>
        <v/>
      </c>
      <c r="T25" s="19">
        <f>O25-Q25-R25-S25</f>
        <v/>
      </c>
      <c r="U25" s="19">
        <f>T25-W25-X25</f>
        <v/>
      </c>
      <c r="V25" s="19">
        <f>假设!$B$33+SUM($U$5:U25)+SUM($Y$5:Y25)-SUM($Z$5:Z25)</f>
        <v/>
      </c>
      <c r="W25" s="19">
        <f>INDEX(营运资本_三情景!$B$22:$D$22,1,MATCH(假设!$B$4,{"悲观","基准","乐观"},0))</f>
        <v/>
      </c>
      <c r="X25" s="19">
        <f>INDEX(税金_三情景!$B$22:$D$22,1,MATCH(假设!$B$4,{"悲观","基准","乐观"},0))</f>
        <v/>
      </c>
      <c r="Y25" s="19">
        <f>IF($A25=18,假设!$B$35,0)</f>
        <v/>
      </c>
      <c r="Z25" s="19">
        <f>L25*假设!$B$30</f>
        <v/>
      </c>
    </row>
    <row r="26">
      <c r="A26" s="21" t="n">
        <v>22</v>
      </c>
      <c r="B26" s="22">
        <f>INDEX(注册量_三情景!$B$23:$D$23,1,MATCH(假设!$B$4,{"悲观","基准","乐观"},0))</f>
        <v/>
      </c>
      <c r="C26" s="22">
        <f>B26*INDEX(转化率_三情景!$B$23:$D$23,1,MATCH(假设!$B$4,{"悲观","基准","乐观"},0))</f>
        <v/>
      </c>
      <c r="D26" s="22">
        <f>INDEX(AE数_三情景!$B$23:$D$23,1,MATCH(假设!$B$4,{"悲观","基准","乐观"},0))*INDEX(AE人效_三情景!$B$23:$D$23,1,MATCH(假设!$B$4,{"悲观","基准","乐观"},0))</f>
        <v/>
      </c>
      <c r="E26" s="22">
        <f>C26+D26</f>
        <v/>
      </c>
      <c r="F26" s="22">
        <f>INDEX(流失_三情景!$B$23:$D$23,1,MATCH(假设!$B$4,{"悲观","基准","乐观"},0))</f>
        <v/>
      </c>
      <c r="G26" s="22">
        <f>INDEX(客户数_三情景!$B$23:$D$23,1,MATCH(假设!$B$4,{"悲观","基准","乐观"},0))</f>
        <v/>
      </c>
      <c r="H26" s="22">
        <f>INDEX(席位数_三情景!$B$23:$D$23,1,MATCH(假设!$B$4,{"悲观","基准","乐观"},0))</f>
        <v/>
      </c>
      <c r="I26" s="23">
        <f>IF(G26=0,0,L26/G26)</f>
        <v/>
      </c>
      <c r="J26" s="23">
        <f>H26*假设!$B$7</f>
        <v/>
      </c>
      <c r="K26" s="23">
        <f>J26*12</f>
        <v/>
      </c>
      <c r="L26" s="23">
        <f>J26</f>
        <v/>
      </c>
      <c r="M26" s="23">
        <f>假设!$B$24+假设!$B$25*G26+L26*假设!$B$26+假设!$B$29</f>
        <v/>
      </c>
      <c r="N26" s="23">
        <f>INDEX(客户支持_三情景!$B$23:$D$23,1,MATCH(假设!$B$4,{"悲观","基准","乐观"},0))</f>
        <v/>
      </c>
      <c r="O26" s="23">
        <f>L26-M26-N26</f>
        <v/>
      </c>
      <c r="P26" s="24">
        <f>IF(L26=0,0,O26/L26)</f>
        <v/>
      </c>
      <c r="Q26" s="23">
        <f>INDEX(研发_三情景!$B$23:$D$23,1,MATCH(假设!$B$4,{"悲观","基准","乐观"},0))</f>
        <v/>
      </c>
      <c r="R26" s="23">
        <f>INDEX(销售市场_三情景!$B$23:$D$23,1,MATCH(假设!$B$4,{"悲观","基准","乐观"},0))</f>
        <v/>
      </c>
      <c r="S26" s="23">
        <f>INDEX(管理行政_三情景!$B$23:$D$23,1,MATCH(假设!$B$4,{"悲观","基准","乐观"},0))</f>
        <v/>
      </c>
      <c r="T26" s="23">
        <f>O26-Q26-R26-S26</f>
        <v/>
      </c>
      <c r="U26" s="23">
        <f>T26-W26-X26</f>
        <v/>
      </c>
      <c r="V26" s="23">
        <f>假设!$B$33+SUM($U$5:U26)+SUM($Y$5:Y26)-SUM($Z$5:Z26)</f>
        <v/>
      </c>
      <c r="W26" s="23">
        <f>INDEX(营运资本_三情景!$B$23:$D$23,1,MATCH(假设!$B$4,{"悲观","基准","乐观"},0))</f>
        <v/>
      </c>
      <c r="X26" s="23">
        <f>INDEX(税金_三情景!$B$23:$D$23,1,MATCH(假设!$B$4,{"悲观","基准","乐观"},0))</f>
        <v/>
      </c>
      <c r="Y26" s="23">
        <f>IF($A26=18,假设!$B$35,0)</f>
        <v/>
      </c>
      <c r="Z26" s="23">
        <f>L26*假设!$B$30</f>
        <v/>
      </c>
    </row>
    <row r="27">
      <c r="A27" s="17" t="n">
        <v>23</v>
      </c>
      <c r="B27" s="18">
        <f>INDEX(注册量_三情景!$B$24:$D$24,1,MATCH(假设!$B$4,{"悲观","基准","乐观"},0))</f>
        <v/>
      </c>
      <c r="C27" s="18">
        <f>B27*INDEX(转化率_三情景!$B$24:$D$24,1,MATCH(假设!$B$4,{"悲观","基准","乐观"},0))</f>
        <v/>
      </c>
      <c r="D27" s="18">
        <f>INDEX(AE数_三情景!$B$24:$D$24,1,MATCH(假设!$B$4,{"悲观","基准","乐观"},0))*INDEX(AE人效_三情景!$B$24:$D$24,1,MATCH(假设!$B$4,{"悲观","基准","乐观"},0))</f>
        <v/>
      </c>
      <c r="E27" s="18">
        <f>C27+D27</f>
        <v/>
      </c>
      <c r="F27" s="18">
        <f>INDEX(流失_三情景!$B$24:$D$24,1,MATCH(假设!$B$4,{"悲观","基准","乐观"},0))</f>
        <v/>
      </c>
      <c r="G27" s="18">
        <f>INDEX(客户数_三情景!$B$24:$D$24,1,MATCH(假设!$B$4,{"悲观","基准","乐观"},0))</f>
        <v/>
      </c>
      <c r="H27" s="18">
        <f>INDEX(席位数_三情景!$B$24:$D$24,1,MATCH(假设!$B$4,{"悲观","基准","乐观"},0))</f>
        <v/>
      </c>
      <c r="I27" s="19">
        <f>IF(G27=0,0,L27/G27)</f>
        <v/>
      </c>
      <c r="J27" s="19">
        <f>H27*假设!$B$7</f>
        <v/>
      </c>
      <c r="K27" s="19">
        <f>J27*12</f>
        <v/>
      </c>
      <c r="L27" s="19">
        <f>J27</f>
        <v/>
      </c>
      <c r="M27" s="19">
        <f>假设!$B$24+假设!$B$25*G27+L27*假设!$B$26+假设!$B$29</f>
        <v/>
      </c>
      <c r="N27" s="19">
        <f>INDEX(客户支持_三情景!$B$24:$D$24,1,MATCH(假设!$B$4,{"悲观","基准","乐观"},0))</f>
        <v/>
      </c>
      <c r="O27" s="19">
        <f>L27-M27-N27</f>
        <v/>
      </c>
      <c r="P27" s="20">
        <f>IF(L27=0,0,O27/L27)</f>
        <v/>
      </c>
      <c r="Q27" s="19">
        <f>INDEX(研发_三情景!$B$24:$D$24,1,MATCH(假设!$B$4,{"悲观","基准","乐观"},0))</f>
        <v/>
      </c>
      <c r="R27" s="19">
        <f>INDEX(销售市场_三情景!$B$24:$D$24,1,MATCH(假设!$B$4,{"悲观","基准","乐观"},0))</f>
        <v/>
      </c>
      <c r="S27" s="19">
        <f>INDEX(管理行政_三情景!$B$24:$D$24,1,MATCH(假设!$B$4,{"悲观","基准","乐观"},0))</f>
        <v/>
      </c>
      <c r="T27" s="19">
        <f>O27-Q27-R27-S27</f>
        <v/>
      </c>
      <c r="U27" s="19">
        <f>T27-W27-X27</f>
        <v/>
      </c>
      <c r="V27" s="19">
        <f>假设!$B$33+SUM($U$5:U27)+SUM($Y$5:Y27)-SUM($Z$5:Z27)</f>
        <v/>
      </c>
      <c r="W27" s="19">
        <f>INDEX(营运资本_三情景!$B$24:$D$24,1,MATCH(假设!$B$4,{"悲观","基准","乐观"},0))</f>
        <v/>
      </c>
      <c r="X27" s="19">
        <f>INDEX(税金_三情景!$B$24:$D$24,1,MATCH(假设!$B$4,{"悲观","基准","乐观"},0))</f>
        <v/>
      </c>
      <c r="Y27" s="19">
        <f>IF($A27=18,假设!$B$35,0)</f>
        <v/>
      </c>
      <c r="Z27" s="19">
        <f>L27*假设!$B$30</f>
        <v/>
      </c>
    </row>
    <row r="28">
      <c r="A28" s="21" t="n">
        <v>24</v>
      </c>
      <c r="B28" s="22">
        <f>INDEX(注册量_三情景!$B$25:$D$25,1,MATCH(假设!$B$4,{"悲观","基准","乐观"},0))</f>
        <v/>
      </c>
      <c r="C28" s="22">
        <f>B28*INDEX(转化率_三情景!$B$25:$D$25,1,MATCH(假设!$B$4,{"悲观","基准","乐观"},0))</f>
        <v/>
      </c>
      <c r="D28" s="22">
        <f>INDEX(AE数_三情景!$B$25:$D$25,1,MATCH(假设!$B$4,{"悲观","基准","乐观"},0))*INDEX(AE人效_三情景!$B$25:$D$25,1,MATCH(假设!$B$4,{"悲观","基准","乐观"},0))</f>
        <v/>
      </c>
      <c r="E28" s="22">
        <f>C28+D28</f>
        <v/>
      </c>
      <c r="F28" s="22">
        <f>INDEX(流失_三情景!$B$25:$D$25,1,MATCH(假设!$B$4,{"悲观","基准","乐观"},0))</f>
        <v/>
      </c>
      <c r="G28" s="22">
        <f>INDEX(客户数_三情景!$B$25:$D$25,1,MATCH(假设!$B$4,{"悲观","基准","乐观"},0))</f>
        <v/>
      </c>
      <c r="H28" s="22">
        <f>INDEX(席位数_三情景!$B$25:$D$25,1,MATCH(假设!$B$4,{"悲观","基准","乐观"},0))</f>
        <v/>
      </c>
      <c r="I28" s="23">
        <f>IF(G28=0,0,L28/G28)</f>
        <v/>
      </c>
      <c r="J28" s="23">
        <f>H28*假设!$B$7</f>
        <v/>
      </c>
      <c r="K28" s="23">
        <f>J28*12</f>
        <v/>
      </c>
      <c r="L28" s="23">
        <f>J28</f>
        <v/>
      </c>
      <c r="M28" s="23">
        <f>假设!$B$24+假设!$B$25*G28+L28*假设!$B$26+假设!$B$29</f>
        <v/>
      </c>
      <c r="N28" s="23">
        <f>INDEX(客户支持_三情景!$B$25:$D$25,1,MATCH(假设!$B$4,{"悲观","基准","乐观"},0))</f>
        <v/>
      </c>
      <c r="O28" s="23">
        <f>L28-M28-N28</f>
        <v/>
      </c>
      <c r="P28" s="24">
        <f>IF(L28=0,0,O28/L28)</f>
        <v/>
      </c>
      <c r="Q28" s="23">
        <f>INDEX(研发_三情景!$B$25:$D$25,1,MATCH(假设!$B$4,{"悲观","基准","乐观"},0))</f>
        <v/>
      </c>
      <c r="R28" s="23">
        <f>INDEX(销售市场_三情景!$B$25:$D$25,1,MATCH(假设!$B$4,{"悲观","基准","乐观"},0))</f>
        <v/>
      </c>
      <c r="S28" s="23">
        <f>INDEX(管理行政_三情景!$B$25:$D$25,1,MATCH(假设!$B$4,{"悲观","基准","乐观"},0))</f>
        <v/>
      </c>
      <c r="T28" s="23">
        <f>O28-Q28-R28-S28</f>
        <v/>
      </c>
      <c r="U28" s="23">
        <f>T28-W28-X28</f>
        <v/>
      </c>
      <c r="V28" s="23">
        <f>假设!$B$33+SUM($U$5:U28)+SUM($Y$5:Y28)-SUM($Z$5:Z28)</f>
        <v/>
      </c>
      <c r="W28" s="23">
        <f>INDEX(营运资本_三情景!$B$25:$D$25,1,MATCH(假设!$B$4,{"悲观","基准","乐观"},0))</f>
        <v/>
      </c>
      <c r="X28" s="23">
        <f>INDEX(税金_三情景!$B$25:$D$25,1,MATCH(假设!$B$4,{"悲观","基准","乐观"},0))</f>
        <v/>
      </c>
      <c r="Y28" s="23">
        <f>IF($A28=18,假设!$B$35,0)</f>
        <v/>
      </c>
      <c r="Z28" s="23">
        <f>L28*假设!$B$30</f>
        <v/>
      </c>
    </row>
    <row r="29">
      <c r="A29" s="17" t="n">
        <v>25</v>
      </c>
      <c r="B29" s="18">
        <f>INDEX(注册量_三情景!$B$26:$D$26,1,MATCH(假设!$B$4,{"悲观","基准","乐观"},0))</f>
        <v/>
      </c>
      <c r="C29" s="18">
        <f>B29*INDEX(转化率_三情景!$B$26:$D$26,1,MATCH(假设!$B$4,{"悲观","基准","乐观"},0))</f>
        <v/>
      </c>
      <c r="D29" s="18">
        <f>INDEX(AE数_三情景!$B$26:$D$26,1,MATCH(假设!$B$4,{"悲观","基准","乐观"},0))*INDEX(AE人效_三情景!$B$26:$D$26,1,MATCH(假设!$B$4,{"悲观","基准","乐观"},0))</f>
        <v/>
      </c>
      <c r="E29" s="18">
        <f>C29+D29</f>
        <v/>
      </c>
      <c r="F29" s="18">
        <f>INDEX(流失_三情景!$B$26:$D$26,1,MATCH(假设!$B$4,{"悲观","基准","乐观"},0))</f>
        <v/>
      </c>
      <c r="G29" s="18">
        <f>INDEX(客户数_三情景!$B$26:$D$26,1,MATCH(假设!$B$4,{"悲观","基准","乐观"},0))</f>
        <v/>
      </c>
      <c r="H29" s="18">
        <f>INDEX(席位数_三情景!$B$26:$D$26,1,MATCH(假设!$B$4,{"悲观","基准","乐观"},0))</f>
        <v/>
      </c>
      <c r="I29" s="19">
        <f>IF(G29=0,0,L29/G29)</f>
        <v/>
      </c>
      <c r="J29" s="19">
        <f>H29*假设!$B$7</f>
        <v/>
      </c>
      <c r="K29" s="19">
        <f>J29*12</f>
        <v/>
      </c>
      <c r="L29" s="19">
        <f>J29</f>
        <v/>
      </c>
      <c r="M29" s="19">
        <f>假设!$B$24+假设!$B$25*G29+L29*假设!$B$26+假设!$B$29</f>
        <v/>
      </c>
      <c r="N29" s="19">
        <f>INDEX(客户支持_三情景!$B$26:$D$26,1,MATCH(假设!$B$4,{"悲观","基准","乐观"},0))</f>
        <v/>
      </c>
      <c r="O29" s="19">
        <f>L29-M29-N29</f>
        <v/>
      </c>
      <c r="P29" s="20">
        <f>IF(L29=0,0,O29/L29)</f>
        <v/>
      </c>
      <c r="Q29" s="19">
        <f>INDEX(研发_三情景!$B$26:$D$26,1,MATCH(假设!$B$4,{"悲观","基准","乐观"},0))</f>
        <v/>
      </c>
      <c r="R29" s="19">
        <f>INDEX(销售市场_三情景!$B$26:$D$26,1,MATCH(假设!$B$4,{"悲观","基准","乐观"},0))</f>
        <v/>
      </c>
      <c r="S29" s="19">
        <f>INDEX(管理行政_三情景!$B$26:$D$26,1,MATCH(假设!$B$4,{"悲观","基准","乐观"},0))</f>
        <v/>
      </c>
      <c r="T29" s="19">
        <f>O29-Q29-R29-S29</f>
        <v/>
      </c>
      <c r="U29" s="19">
        <f>T29-W29-X29</f>
        <v/>
      </c>
      <c r="V29" s="19">
        <f>假设!$B$33+SUM($U$5:U29)+SUM($Y$5:Y29)-SUM($Z$5:Z29)</f>
        <v/>
      </c>
      <c r="W29" s="19">
        <f>INDEX(营运资本_三情景!$B$26:$D$26,1,MATCH(假设!$B$4,{"悲观","基准","乐观"},0))</f>
        <v/>
      </c>
      <c r="X29" s="19">
        <f>INDEX(税金_三情景!$B$26:$D$26,1,MATCH(假设!$B$4,{"悲观","基准","乐观"},0))</f>
        <v/>
      </c>
      <c r="Y29" s="19">
        <f>IF($A29=18,假设!$B$35,0)</f>
        <v/>
      </c>
      <c r="Z29" s="19">
        <f>L29*假设!$B$30</f>
        <v/>
      </c>
    </row>
    <row r="30">
      <c r="A30" s="21" t="n">
        <v>26</v>
      </c>
      <c r="B30" s="22">
        <f>INDEX(注册量_三情景!$B$27:$D$27,1,MATCH(假设!$B$4,{"悲观","基准","乐观"},0))</f>
        <v/>
      </c>
      <c r="C30" s="22">
        <f>B30*INDEX(转化率_三情景!$B$27:$D$27,1,MATCH(假设!$B$4,{"悲观","基准","乐观"},0))</f>
        <v/>
      </c>
      <c r="D30" s="22">
        <f>INDEX(AE数_三情景!$B$27:$D$27,1,MATCH(假设!$B$4,{"悲观","基准","乐观"},0))*INDEX(AE人效_三情景!$B$27:$D$27,1,MATCH(假设!$B$4,{"悲观","基准","乐观"},0))</f>
        <v/>
      </c>
      <c r="E30" s="22">
        <f>C30+D30</f>
        <v/>
      </c>
      <c r="F30" s="22">
        <f>INDEX(流失_三情景!$B$27:$D$27,1,MATCH(假设!$B$4,{"悲观","基准","乐观"},0))</f>
        <v/>
      </c>
      <c r="G30" s="22">
        <f>INDEX(客户数_三情景!$B$27:$D$27,1,MATCH(假设!$B$4,{"悲观","基准","乐观"},0))</f>
        <v/>
      </c>
      <c r="H30" s="22">
        <f>INDEX(席位数_三情景!$B$27:$D$27,1,MATCH(假设!$B$4,{"悲观","基准","乐观"},0))</f>
        <v/>
      </c>
      <c r="I30" s="23">
        <f>IF(G30=0,0,L30/G30)</f>
        <v/>
      </c>
      <c r="J30" s="23">
        <f>H30*假设!$B$7</f>
        <v/>
      </c>
      <c r="K30" s="23">
        <f>J30*12</f>
        <v/>
      </c>
      <c r="L30" s="23">
        <f>J30</f>
        <v/>
      </c>
      <c r="M30" s="23">
        <f>假设!$B$24+假设!$B$25*G30+L30*假设!$B$26+假设!$B$29</f>
        <v/>
      </c>
      <c r="N30" s="23">
        <f>INDEX(客户支持_三情景!$B$27:$D$27,1,MATCH(假设!$B$4,{"悲观","基准","乐观"},0))</f>
        <v/>
      </c>
      <c r="O30" s="23">
        <f>L30-M30-N30</f>
        <v/>
      </c>
      <c r="P30" s="24">
        <f>IF(L30=0,0,O30/L30)</f>
        <v/>
      </c>
      <c r="Q30" s="23">
        <f>INDEX(研发_三情景!$B$27:$D$27,1,MATCH(假设!$B$4,{"悲观","基准","乐观"},0))</f>
        <v/>
      </c>
      <c r="R30" s="23">
        <f>INDEX(销售市场_三情景!$B$27:$D$27,1,MATCH(假设!$B$4,{"悲观","基准","乐观"},0))</f>
        <v/>
      </c>
      <c r="S30" s="23">
        <f>INDEX(管理行政_三情景!$B$27:$D$27,1,MATCH(假设!$B$4,{"悲观","基准","乐观"},0))</f>
        <v/>
      </c>
      <c r="T30" s="23">
        <f>O30-Q30-R30-S30</f>
        <v/>
      </c>
      <c r="U30" s="23">
        <f>T30-W30-X30</f>
        <v/>
      </c>
      <c r="V30" s="23">
        <f>假设!$B$33+SUM($U$5:U30)+SUM($Y$5:Y30)-SUM($Z$5:Z30)</f>
        <v/>
      </c>
      <c r="W30" s="23">
        <f>INDEX(营运资本_三情景!$B$27:$D$27,1,MATCH(假设!$B$4,{"悲观","基准","乐观"},0))</f>
        <v/>
      </c>
      <c r="X30" s="23">
        <f>INDEX(税金_三情景!$B$27:$D$27,1,MATCH(假设!$B$4,{"悲观","基准","乐观"},0))</f>
        <v/>
      </c>
      <c r="Y30" s="23">
        <f>IF($A30=18,假设!$B$35,0)</f>
        <v/>
      </c>
      <c r="Z30" s="23">
        <f>L30*假设!$B$30</f>
        <v/>
      </c>
    </row>
    <row r="31">
      <c r="A31" s="17" t="n">
        <v>27</v>
      </c>
      <c r="B31" s="18">
        <f>INDEX(注册量_三情景!$B$28:$D$28,1,MATCH(假设!$B$4,{"悲观","基准","乐观"},0))</f>
        <v/>
      </c>
      <c r="C31" s="18">
        <f>B31*INDEX(转化率_三情景!$B$28:$D$28,1,MATCH(假设!$B$4,{"悲观","基准","乐观"},0))</f>
        <v/>
      </c>
      <c r="D31" s="18">
        <f>INDEX(AE数_三情景!$B$28:$D$28,1,MATCH(假设!$B$4,{"悲观","基准","乐观"},0))*INDEX(AE人效_三情景!$B$28:$D$28,1,MATCH(假设!$B$4,{"悲观","基准","乐观"},0))</f>
        <v/>
      </c>
      <c r="E31" s="18">
        <f>C31+D31</f>
        <v/>
      </c>
      <c r="F31" s="18">
        <f>INDEX(流失_三情景!$B$28:$D$28,1,MATCH(假设!$B$4,{"悲观","基准","乐观"},0))</f>
        <v/>
      </c>
      <c r="G31" s="18">
        <f>INDEX(客户数_三情景!$B$28:$D$28,1,MATCH(假设!$B$4,{"悲观","基准","乐观"},0))</f>
        <v/>
      </c>
      <c r="H31" s="18">
        <f>INDEX(席位数_三情景!$B$28:$D$28,1,MATCH(假设!$B$4,{"悲观","基准","乐观"},0))</f>
        <v/>
      </c>
      <c r="I31" s="19">
        <f>IF(G31=0,0,L31/G31)</f>
        <v/>
      </c>
      <c r="J31" s="19">
        <f>H31*假设!$B$7</f>
        <v/>
      </c>
      <c r="K31" s="19">
        <f>J31*12</f>
        <v/>
      </c>
      <c r="L31" s="19">
        <f>J31</f>
        <v/>
      </c>
      <c r="M31" s="19">
        <f>假设!$B$24+假设!$B$25*G31+L31*假设!$B$26+假设!$B$29</f>
        <v/>
      </c>
      <c r="N31" s="19">
        <f>INDEX(客户支持_三情景!$B$28:$D$28,1,MATCH(假设!$B$4,{"悲观","基准","乐观"},0))</f>
        <v/>
      </c>
      <c r="O31" s="19">
        <f>L31-M31-N31</f>
        <v/>
      </c>
      <c r="P31" s="20">
        <f>IF(L31=0,0,O31/L31)</f>
        <v/>
      </c>
      <c r="Q31" s="19">
        <f>INDEX(研发_三情景!$B$28:$D$28,1,MATCH(假设!$B$4,{"悲观","基准","乐观"},0))</f>
        <v/>
      </c>
      <c r="R31" s="19">
        <f>INDEX(销售市场_三情景!$B$28:$D$28,1,MATCH(假设!$B$4,{"悲观","基准","乐观"},0))</f>
        <v/>
      </c>
      <c r="S31" s="19">
        <f>INDEX(管理行政_三情景!$B$28:$D$28,1,MATCH(假设!$B$4,{"悲观","基准","乐观"},0))</f>
        <v/>
      </c>
      <c r="T31" s="19">
        <f>O31-Q31-R31-S31</f>
        <v/>
      </c>
      <c r="U31" s="19">
        <f>T31-W31-X31</f>
        <v/>
      </c>
      <c r="V31" s="19">
        <f>假设!$B$33+SUM($U$5:U31)+SUM($Y$5:Y31)-SUM($Z$5:Z31)</f>
        <v/>
      </c>
      <c r="W31" s="19">
        <f>INDEX(营运资本_三情景!$B$28:$D$28,1,MATCH(假设!$B$4,{"悲观","基准","乐观"},0))</f>
        <v/>
      </c>
      <c r="X31" s="19">
        <f>INDEX(税金_三情景!$B$28:$D$28,1,MATCH(假设!$B$4,{"悲观","基准","乐观"},0))</f>
        <v/>
      </c>
      <c r="Y31" s="19">
        <f>IF($A31=18,假设!$B$35,0)</f>
        <v/>
      </c>
      <c r="Z31" s="19">
        <f>L31*假设!$B$30</f>
        <v/>
      </c>
    </row>
    <row r="32">
      <c r="A32" s="21" t="n">
        <v>28</v>
      </c>
      <c r="B32" s="22">
        <f>INDEX(注册量_三情景!$B$29:$D$29,1,MATCH(假设!$B$4,{"悲观","基准","乐观"},0))</f>
        <v/>
      </c>
      <c r="C32" s="22">
        <f>B32*INDEX(转化率_三情景!$B$29:$D$29,1,MATCH(假设!$B$4,{"悲观","基准","乐观"},0))</f>
        <v/>
      </c>
      <c r="D32" s="22">
        <f>INDEX(AE数_三情景!$B$29:$D$29,1,MATCH(假设!$B$4,{"悲观","基准","乐观"},0))*INDEX(AE人效_三情景!$B$29:$D$29,1,MATCH(假设!$B$4,{"悲观","基准","乐观"},0))</f>
        <v/>
      </c>
      <c r="E32" s="22">
        <f>C32+D32</f>
        <v/>
      </c>
      <c r="F32" s="22">
        <f>INDEX(流失_三情景!$B$29:$D$29,1,MATCH(假设!$B$4,{"悲观","基准","乐观"},0))</f>
        <v/>
      </c>
      <c r="G32" s="22">
        <f>INDEX(客户数_三情景!$B$29:$D$29,1,MATCH(假设!$B$4,{"悲观","基准","乐观"},0))</f>
        <v/>
      </c>
      <c r="H32" s="22">
        <f>INDEX(席位数_三情景!$B$29:$D$29,1,MATCH(假设!$B$4,{"悲观","基准","乐观"},0))</f>
        <v/>
      </c>
      <c r="I32" s="23">
        <f>IF(G32=0,0,L32/G32)</f>
        <v/>
      </c>
      <c r="J32" s="23">
        <f>H32*假设!$B$7</f>
        <v/>
      </c>
      <c r="K32" s="23">
        <f>J32*12</f>
        <v/>
      </c>
      <c r="L32" s="23">
        <f>J32</f>
        <v/>
      </c>
      <c r="M32" s="23">
        <f>假设!$B$24+假设!$B$25*G32+L32*假设!$B$26+假设!$B$29</f>
        <v/>
      </c>
      <c r="N32" s="23">
        <f>INDEX(客户支持_三情景!$B$29:$D$29,1,MATCH(假设!$B$4,{"悲观","基准","乐观"},0))</f>
        <v/>
      </c>
      <c r="O32" s="23">
        <f>L32-M32-N32</f>
        <v/>
      </c>
      <c r="P32" s="24">
        <f>IF(L32=0,0,O32/L32)</f>
        <v/>
      </c>
      <c r="Q32" s="23">
        <f>INDEX(研发_三情景!$B$29:$D$29,1,MATCH(假设!$B$4,{"悲观","基准","乐观"},0))</f>
        <v/>
      </c>
      <c r="R32" s="23">
        <f>INDEX(销售市场_三情景!$B$29:$D$29,1,MATCH(假设!$B$4,{"悲观","基准","乐观"},0))</f>
        <v/>
      </c>
      <c r="S32" s="23">
        <f>INDEX(管理行政_三情景!$B$29:$D$29,1,MATCH(假设!$B$4,{"悲观","基准","乐观"},0))</f>
        <v/>
      </c>
      <c r="T32" s="23">
        <f>O32-Q32-R32-S32</f>
        <v/>
      </c>
      <c r="U32" s="23">
        <f>T32-W32-X32</f>
        <v/>
      </c>
      <c r="V32" s="23">
        <f>假设!$B$33+SUM($U$5:U32)+SUM($Y$5:Y32)-SUM($Z$5:Z32)</f>
        <v/>
      </c>
      <c r="W32" s="23">
        <f>INDEX(营运资本_三情景!$B$29:$D$29,1,MATCH(假设!$B$4,{"悲观","基准","乐观"},0))</f>
        <v/>
      </c>
      <c r="X32" s="23">
        <f>INDEX(税金_三情景!$B$29:$D$29,1,MATCH(假设!$B$4,{"悲观","基准","乐观"},0))</f>
        <v/>
      </c>
      <c r="Y32" s="23">
        <f>IF($A32=18,假设!$B$35,0)</f>
        <v/>
      </c>
      <c r="Z32" s="23">
        <f>L32*假设!$B$30</f>
        <v/>
      </c>
    </row>
    <row r="33">
      <c r="A33" s="17" t="n">
        <v>29</v>
      </c>
      <c r="B33" s="18">
        <f>INDEX(注册量_三情景!$B$30:$D$30,1,MATCH(假设!$B$4,{"悲观","基准","乐观"},0))</f>
        <v/>
      </c>
      <c r="C33" s="18">
        <f>B33*INDEX(转化率_三情景!$B$30:$D$30,1,MATCH(假设!$B$4,{"悲观","基准","乐观"},0))</f>
        <v/>
      </c>
      <c r="D33" s="18">
        <f>INDEX(AE数_三情景!$B$30:$D$30,1,MATCH(假设!$B$4,{"悲观","基准","乐观"},0))*INDEX(AE人效_三情景!$B$30:$D$30,1,MATCH(假设!$B$4,{"悲观","基准","乐观"},0))</f>
        <v/>
      </c>
      <c r="E33" s="18">
        <f>C33+D33</f>
        <v/>
      </c>
      <c r="F33" s="18">
        <f>INDEX(流失_三情景!$B$30:$D$30,1,MATCH(假设!$B$4,{"悲观","基准","乐观"},0))</f>
        <v/>
      </c>
      <c r="G33" s="18">
        <f>INDEX(客户数_三情景!$B$30:$D$30,1,MATCH(假设!$B$4,{"悲观","基准","乐观"},0))</f>
        <v/>
      </c>
      <c r="H33" s="18">
        <f>INDEX(席位数_三情景!$B$30:$D$30,1,MATCH(假设!$B$4,{"悲观","基准","乐观"},0))</f>
        <v/>
      </c>
      <c r="I33" s="19">
        <f>IF(G33=0,0,L33/G33)</f>
        <v/>
      </c>
      <c r="J33" s="19">
        <f>H33*假设!$B$7</f>
        <v/>
      </c>
      <c r="K33" s="19">
        <f>J33*12</f>
        <v/>
      </c>
      <c r="L33" s="19">
        <f>J33</f>
        <v/>
      </c>
      <c r="M33" s="19">
        <f>假设!$B$24+假设!$B$25*G33+L33*假设!$B$26+假设!$B$29</f>
        <v/>
      </c>
      <c r="N33" s="19">
        <f>INDEX(客户支持_三情景!$B$30:$D$30,1,MATCH(假设!$B$4,{"悲观","基准","乐观"},0))</f>
        <v/>
      </c>
      <c r="O33" s="19">
        <f>L33-M33-N33</f>
        <v/>
      </c>
      <c r="P33" s="20">
        <f>IF(L33=0,0,O33/L33)</f>
        <v/>
      </c>
      <c r="Q33" s="19">
        <f>INDEX(研发_三情景!$B$30:$D$30,1,MATCH(假设!$B$4,{"悲观","基准","乐观"},0))</f>
        <v/>
      </c>
      <c r="R33" s="19">
        <f>INDEX(销售市场_三情景!$B$30:$D$30,1,MATCH(假设!$B$4,{"悲观","基准","乐观"},0))</f>
        <v/>
      </c>
      <c r="S33" s="19">
        <f>INDEX(管理行政_三情景!$B$30:$D$30,1,MATCH(假设!$B$4,{"悲观","基准","乐观"},0))</f>
        <v/>
      </c>
      <c r="T33" s="19">
        <f>O33-Q33-R33-S33</f>
        <v/>
      </c>
      <c r="U33" s="19">
        <f>T33-W33-X33</f>
        <v/>
      </c>
      <c r="V33" s="19">
        <f>假设!$B$33+SUM($U$5:U33)+SUM($Y$5:Y33)-SUM($Z$5:Z33)</f>
        <v/>
      </c>
      <c r="W33" s="19">
        <f>INDEX(营运资本_三情景!$B$30:$D$30,1,MATCH(假设!$B$4,{"悲观","基准","乐观"},0))</f>
        <v/>
      </c>
      <c r="X33" s="19">
        <f>INDEX(税金_三情景!$B$30:$D$30,1,MATCH(假设!$B$4,{"悲观","基准","乐观"},0))</f>
        <v/>
      </c>
      <c r="Y33" s="19">
        <f>IF($A33=18,假设!$B$35,0)</f>
        <v/>
      </c>
      <c r="Z33" s="19">
        <f>L33*假设!$B$30</f>
        <v/>
      </c>
    </row>
    <row r="34">
      <c r="A34" s="21" t="n">
        <v>30</v>
      </c>
      <c r="B34" s="22">
        <f>INDEX(注册量_三情景!$B$31:$D$31,1,MATCH(假设!$B$4,{"悲观","基准","乐观"},0))</f>
        <v/>
      </c>
      <c r="C34" s="22">
        <f>B34*INDEX(转化率_三情景!$B$31:$D$31,1,MATCH(假设!$B$4,{"悲观","基准","乐观"},0))</f>
        <v/>
      </c>
      <c r="D34" s="22">
        <f>INDEX(AE数_三情景!$B$31:$D$31,1,MATCH(假设!$B$4,{"悲观","基准","乐观"},0))*INDEX(AE人效_三情景!$B$31:$D$31,1,MATCH(假设!$B$4,{"悲观","基准","乐观"},0))</f>
        <v/>
      </c>
      <c r="E34" s="22">
        <f>C34+D34</f>
        <v/>
      </c>
      <c r="F34" s="22">
        <f>INDEX(流失_三情景!$B$31:$D$31,1,MATCH(假设!$B$4,{"悲观","基准","乐观"},0))</f>
        <v/>
      </c>
      <c r="G34" s="22">
        <f>INDEX(客户数_三情景!$B$31:$D$31,1,MATCH(假设!$B$4,{"悲观","基准","乐观"},0))</f>
        <v/>
      </c>
      <c r="H34" s="22">
        <f>INDEX(席位数_三情景!$B$31:$D$31,1,MATCH(假设!$B$4,{"悲观","基准","乐观"},0))</f>
        <v/>
      </c>
      <c r="I34" s="23">
        <f>IF(G34=0,0,L34/G34)</f>
        <v/>
      </c>
      <c r="J34" s="23">
        <f>H34*假设!$B$7</f>
        <v/>
      </c>
      <c r="K34" s="23">
        <f>J34*12</f>
        <v/>
      </c>
      <c r="L34" s="23">
        <f>J34</f>
        <v/>
      </c>
      <c r="M34" s="23">
        <f>假设!$B$24+假设!$B$25*G34+L34*假设!$B$26+假设!$B$29</f>
        <v/>
      </c>
      <c r="N34" s="23">
        <f>INDEX(客户支持_三情景!$B$31:$D$31,1,MATCH(假设!$B$4,{"悲观","基准","乐观"},0))</f>
        <v/>
      </c>
      <c r="O34" s="23">
        <f>L34-M34-N34</f>
        <v/>
      </c>
      <c r="P34" s="24">
        <f>IF(L34=0,0,O34/L34)</f>
        <v/>
      </c>
      <c r="Q34" s="23">
        <f>INDEX(研发_三情景!$B$31:$D$31,1,MATCH(假设!$B$4,{"悲观","基准","乐观"},0))</f>
        <v/>
      </c>
      <c r="R34" s="23">
        <f>INDEX(销售市场_三情景!$B$31:$D$31,1,MATCH(假设!$B$4,{"悲观","基准","乐观"},0))</f>
        <v/>
      </c>
      <c r="S34" s="23">
        <f>INDEX(管理行政_三情景!$B$31:$D$31,1,MATCH(假设!$B$4,{"悲观","基准","乐观"},0))</f>
        <v/>
      </c>
      <c r="T34" s="23">
        <f>O34-Q34-R34-S34</f>
        <v/>
      </c>
      <c r="U34" s="23">
        <f>T34-W34-X34</f>
        <v/>
      </c>
      <c r="V34" s="23">
        <f>假设!$B$33+SUM($U$5:U34)+SUM($Y$5:Y34)-SUM($Z$5:Z34)</f>
        <v/>
      </c>
      <c r="W34" s="23">
        <f>INDEX(营运资本_三情景!$B$31:$D$31,1,MATCH(假设!$B$4,{"悲观","基准","乐观"},0))</f>
        <v/>
      </c>
      <c r="X34" s="23">
        <f>INDEX(税金_三情景!$B$31:$D$31,1,MATCH(假设!$B$4,{"悲观","基准","乐观"},0))</f>
        <v/>
      </c>
      <c r="Y34" s="23">
        <f>IF($A34=18,假设!$B$35,0)</f>
        <v/>
      </c>
      <c r="Z34" s="23">
        <f>L34*假设!$B$30</f>
        <v/>
      </c>
    </row>
    <row r="35">
      <c r="A35" s="17" t="n">
        <v>31</v>
      </c>
      <c r="B35" s="18">
        <f>INDEX(注册量_三情景!$B$32:$D$32,1,MATCH(假设!$B$4,{"悲观","基准","乐观"},0))</f>
        <v/>
      </c>
      <c r="C35" s="18">
        <f>B35*INDEX(转化率_三情景!$B$32:$D$32,1,MATCH(假设!$B$4,{"悲观","基准","乐观"},0))</f>
        <v/>
      </c>
      <c r="D35" s="18">
        <f>INDEX(AE数_三情景!$B$32:$D$32,1,MATCH(假设!$B$4,{"悲观","基准","乐观"},0))*INDEX(AE人效_三情景!$B$32:$D$32,1,MATCH(假设!$B$4,{"悲观","基准","乐观"},0))</f>
        <v/>
      </c>
      <c r="E35" s="18">
        <f>C35+D35</f>
        <v/>
      </c>
      <c r="F35" s="18">
        <f>INDEX(流失_三情景!$B$32:$D$32,1,MATCH(假设!$B$4,{"悲观","基准","乐观"},0))</f>
        <v/>
      </c>
      <c r="G35" s="18">
        <f>INDEX(客户数_三情景!$B$32:$D$32,1,MATCH(假设!$B$4,{"悲观","基准","乐观"},0))</f>
        <v/>
      </c>
      <c r="H35" s="18">
        <f>INDEX(席位数_三情景!$B$32:$D$32,1,MATCH(假设!$B$4,{"悲观","基准","乐观"},0))</f>
        <v/>
      </c>
      <c r="I35" s="19">
        <f>IF(G35=0,0,L35/G35)</f>
        <v/>
      </c>
      <c r="J35" s="19">
        <f>H35*假设!$B$7</f>
        <v/>
      </c>
      <c r="K35" s="19">
        <f>J35*12</f>
        <v/>
      </c>
      <c r="L35" s="19">
        <f>J35</f>
        <v/>
      </c>
      <c r="M35" s="19">
        <f>假设!$B$24+假设!$B$25*G35+L35*假设!$B$26+假设!$B$29</f>
        <v/>
      </c>
      <c r="N35" s="19">
        <f>INDEX(客户支持_三情景!$B$32:$D$32,1,MATCH(假设!$B$4,{"悲观","基准","乐观"},0))</f>
        <v/>
      </c>
      <c r="O35" s="19">
        <f>L35-M35-N35</f>
        <v/>
      </c>
      <c r="P35" s="20">
        <f>IF(L35=0,0,O35/L35)</f>
        <v/>
      </c>
      <c r="Q35" s="19">
        <f>INDEX(研发_三情景!$B$32:$D$32,1,MATCH(假设!$B$4,{"悲观","基准","乐观"},0))</f>
        <v/>
      </c>
      <c r="R35" s="19">
        <f>INDEX(销售市场_三情景!$B$32:$D$32,1,MATCH(假设!$B$4,{"悲观","基准","乐观"},0))</f>
        <v/>
      </c>
      <c r="S35" s="19">
        <f>INDEX(管理行政_三情景!$B$32:$D$32,1,MATCH(假设!$B$4,{"悲观","基准","乐观"},0))</f>
        <v/>
      </c>
      <c r="T35" s="19">
        <f>O35-Q35-R35-S35</f>
        <v/>
      </c>
      <c r="U35" s="19">
        <f>T35-W35-X35</f>
        <v/>
      </c>
      <c r="V35" s="19">
        <f>假设!$B$33+SUM($U$5:U35)+SUM($Y$5:Y35)-SUM($Z$5:Z35)</f>
        <v/>
      </c>
      <c r="W35" s="19">
        <f>INDEX(营运资本_三情景!$B$32:$D$32,1,MATCH(假设!$B$4,{"悲观","基准","乐观"},0))</f>
        <v/>
      </c>
      <c r="X35" s="19">
        <f>INDEX(税金_三情景!$B$32:$D$32,1,MATCH(假设!$B$4,{"悲观","基准","乐观"},0))</f>
        <v/>
      </c>
      <c r="Y35" s="19">
        <f>IF($A35=18,假设!$B$35,0)</f>
        <v/>
      </c>
      <c r="Z35" s="19">
        <f>L35*假设!$B$30</f>
        <v/>
      </c>
    </row>
    <row r="36">
      <c r="A36" s="21" t="n">
        <v>32</v>
      </c>
      <c r="B36" s="22">
        <f>INDEX(注册量_三情景!$B$33:$D$33,1,MATCH(假设!$B$4,{"悲观","基准","乐观"},0))</f>
        <v/>
      </c>
      <c r="C36" s="22">
        <f>B36*INDEX(转化率_三情景!$B$33:$D$33,1,MATCH(假设!$B$4,{"悲观","基准","乐观"},0))</f>
        <v/>
      </c>
      <c r="D36" s="22">
        <f>INDEX(AE数_三情景!$B$33:$D$33,1,MATCH(假设!$B$4,{"悲观","基准","乐观"},0))*INDEX(AE人效_三情景!$B$33:$D$33,1,MATCH(假设!$B$4,{"悲观","基准","乐观"},0))</f>
        <v/>
      </c>
      <c r="E36" s="22">
        <f>C36+D36</f>
        <v/>
      </c>
      <c r="F36" s="22">
        <f>INDEX(流失_三情景!$B$33:$D$33,1,MATCH(假设!$B$4,{"悲观","基准","乐观"},0))</f>
        <v/>
      </c>
      <c r="G36" s="22">
        <f>INDEX(客户数_三情景!$B$33:$D$33,1,MATCH(假设!$B$4,{"悲观","基准","乐观"},0))</f>
        <v/>
      </c>
      <c r="H36" s="22">
        <f>INDEX(席位数_三情景!$B$33:$D$33,1,MATCH(假设!$B$4,{"悲观","基准","乐观"},0))</f>
        <v/>
      </c>
      <c r="I36" s="23">
        <f>IF(G36=0,0,L36/G36)</f>
        <v/>
      </c>
      <c r="J36" s="23">
        <f>H36*假设!$B$7</f>
        <v/>
      </c>
      <c r="K36" s="23">
        <f>J36*12</f>
        <v/>
      </c>
      <c r="L36" s="23">
        <f>J36</f>
        <v/>
      </c>
      <c r="M36" s="23">
        <f>假设!$B$24+假设!$B$25*G36+L36*假设!$B$26+假设!$B$29</f>
        <v/>
      </c>
      <c r="N36" s="23">
        <f>INDEX(客户支持_三情景!$B$33:$D$33,1,MATCH(假设!$B$4,{"悲观","基准","乐观"},0))</f>
        <v/>
      </c>
      <c r="O36" s="23">
        <f>L36-M36-N36</f>
        <v/>
      </c>
      <c r="P36" s="24">
        <f>IF(L36=0,0,O36/L36)</f>
        <v/>
      </c>
      <c r="Q36" s="23">
        <f>INDEX(研发_三情景!$B$33:$D$33,1,MATCH(假设!$B$4,{"悲观","基准","乐观"},0))</f>
        <v/>
      </c>
      <c r="R36" s="23">
        <f>INDEX(销售市场_三情景!$B$33:$D$33,1,MATCH(假设!$B$4,{"悲观","基准","乐观"},0))</f>
        <v/>
      </c>
      <c r="S36" s="23">
        <f>INDEX(管理行政_三情景!$B$33:$D$33,1,MATCH(假设!$B$4,{"悲观","基准","乐观"},0))</f>
        <v/>
      </c>
      <c r="T36" s="23">
        <f>O36-Q36-R36-S36</f>
        <v/>
      </c>
      <c r="U36" s="23">
        <f>T36-W36-X36</f>
        <v/>
      </c>
      <c r="V36" s="23">
        <f>假设!$B$33+SUM($U$5:U36)+SUM($Y$5:Y36)-SUM($Z$5:Z36)</f>
        <v/>
      </c>
      <c r="W36" s="23">
        <f>INDEX(营运资本_三情景!$B$33:$D$33,1,MATCH(假设!$B$4,{"悲观","基准","乐观"},0))</f>
        <v/>
      </c>
      <c r="X36" s="23">
        <f>INDEX(税金_三情景!$B$33:$D$33,1,MATCH(假设!$B$4,{"悲观","基准","乐观"},0))</f>
        <v/>
      </c>
      <c r="Y36" s="23">
        <f>IF($A36=18,假设!$B$35,0)</f>
        <v/>
      </c>
      <c r="Z36" s="23">
        <f>L36*假设!$B$30</f>
        <v/>
      </c>
    </row>
    <row r="37">
      <c r="A37" s="17" t="n">
        <v>33</v>
      </c>
      <c r="B37" s="18">
        <f>INDEX(注册量_三情景!$B$34:$D$34,1,MATCH(假设!$B$4,{"悲观","基准","乐观"},0))</f>
        <v/>
      </c>
      <c r="C37" s="18">
        <f>B37*INDEX(转化率_三情景!$B$34:$D$34,1,MATCH(假设!$B$4,{"悲观","基准","乐观"},0))</f>
        <v/>
      </c>
      <c r="D37" s="18">
        <f>INDEX(AE数_三情景!$B$34:$D$34,1,MATCH(假设!$B$4,{"悲观","基准","乐观"},0))*INDEX(AE人效_三情景!$B$34:$D$34,1,MATCH(假设!$B$4,{"悲观","基准","乐观"},0))</f>
        <v/>
      </c>
      <c r="E37" s="18">
        <f>C37+D37</f>
        <v/>
      </c>
      <c r="F37" s="18">
        <f>INDEX(流失_三情景!$B$34:$D$34,1,MATCH(假设!$B$4,{"悲观","基准","乐观"},0))</f>
        <v/>
      </c>
      <c r="G37" s="18">
        <f>INDEX(客户数_三情景!$B$34:$D$34,1,MATCH(假设!$B$4,{"悲观","基准","乐观"},0))</f>
        <v/>
      </c>
      <c r="H37" s="18">
        <f>INDEX(席位数_三情景!$B$34:$D$34,1,MATCH(假设!$B$4,{"悲观","基准","乐观"},0))</f>
        <v/>
      </c>
      <c r="I37" s="19">
        <f>IF(G37=0,0,L37/G37)</f>
        <v/>
      </c>
      <c r="J37" s="19">
        <f>H37*假设!$B$7</f>
        <v/>
      </c>
      <c r="K37" s="19">
        <f>J37*12</f>
        <v/>
      </c>
      <c r="L37" s="19">
        <f>J37</f>
        <v/>
      </c>
      <c r="M37" s="19">
        <f>假设!$B$24+假设!$B$25*G37+L37*假设!$B$26+假设!$B$29</f>
        <v/>
      </c>
      <c r="N37" s="19">
        <f>INDEX(客户支持_三情景!$B$34:$D$34,1,MATCH(假设!$B$4,{"悲观","基准","乐观"},0))</f>
        <v/>
      </c>
      <c r="O37" s="19">
        <f>L37-M37-N37</f>
        <v/>
      </c>
      <c r="P37" s="20">
        <f>IF(L37=0,0,O37/L37)</f>
        <v/>
      </c>
      <c r="Q37" s="19">
        <f>INDEX(研发_三情景!$B$34:$D$34,1,MATCH(假设!$B$4,{"悲观","基准","乐观"},0))</f>
        <v/>
      </c>
      <c r="R37" s="19">
        <f>INDEX(销售市场_三情景!$B$34:$D$34,1,MATCH(假设!$B$4,{"悲观","基准","乐观"},0))</f>
        <v/>
      </c>
      <c r="S37" s="19">
        <f>INDEX(管理行政_三情景!$B$34:$D$34,1,MATCH(假设!$B$4,{"悲观","基准","乐观"},0))</f>
        <v/>
      </c>
      <c r="T37" s="19">
        <f>O37-Q37-R37-S37</f>
        <v/>
      </c>
      <c r="U37" s="19">
        <f>T37-W37-X37</f>
        <v/>
      </c>
      <c r="V37" s="19">
        <f>假设!$B$33+SUM($U$5:U37)+SUM($Y$5:Y37)-SUM($Z$5:Z37)</f>
        <v/>
      </c>
      <c r="W37" s="19">
        <f>INDEX(营运资本_三情景!$B$34:$D$34,1,MATCH(假设!$B$4,{"悲观","基准","乐观"},0))</f>
        <v/>
      </c>
      <c r="X37" s="19">
        <f>INDEX(税金_三情景!$B$34:$D$34,1,MATCH(假设!$B$4,{"悲观","基准","乐观"},0))</f>
        <v/>
      </c>
      <c r="Y37" s="19">
        <f>IF($A37=18,假设!$B$35,0)</f>
        <v/>
      </c>
      <c r="Z37" s="19">
        <f>L37*假设!$B$30</f>
        <v/>
      </c>
    </row>
    <row r="38">
      <c r="A38" s="21" t="n">
        <v>34</v>
      </c>
      <c r="B38" s="22">
        <f>INDEX(注册量_三情景!$B$35:$D$35,1,MATCH(假设!$B$4,{"悲观","基准","乐观"},0))</f>
        <v/>
      </c>
      <c r="C38" s="22">
        <f>B38*INDEX(转化率_三情景!$B$35:$D$35,1,MATCH(假设!$B$4,{"悲观","基准","乐观"},0))</f>
        <v/>
      </c>
      <c r="D38" s="22">
        <f>INDEX(AE数_三情景!$B$35:$D$35,1,MATCH(假设!$B$4,{"悲观","基准","乐观"},0))*INDEX(AE人效_三情景!$B$35:$D$35,1,MATCH(假设!$B$4,{"悲观","基准","乐观"},0))</f>
        <v/>
      </c>
      <c r="E38" s="22">
        <f>C38+D38</f>
        <v/>
      </c>
      <c r="F38" s="22">
        <f>INDEX(流失_三情景!$B$35:$D$35,1,MATCH(假设!$B$4,{"悲观","基准","乐观"},0))</f>
        <v/>
      </c>
      <c r="G38" s="22">
        <f>INDEX(客户数_三情景!$B$35:$D$35,1,MATCH(假设!$B$4,{"悲观","基准","乐观"},0))</f>
        <v/>
      </c>
      <c r="H38" s="22">
        <f>INDEX(席位数_三情景!$B$35:$D$35,1,MATCH(假设!$B$4,{"悲观","基准","乐观"},0))</f>
        <v/>
      </c>
      <c r="I38" s="23">
        <f>IF(G38=0,0,L38/G38)</f>
        <v/>
      </c>
      <c r="J38" s="23">
        <f>H38*假设!$B$7</f>
        <v/>
      </c>
      <c r="K38" s="23">
        <f>J38*12</f>
        <v/>
      </c>
      <c r="L38" s="23">
        <f>J38</f>
        <v/>
      </c>
      <c r="M38" s="23">
        <f>假设!$B$24+假设!$B$25*G38+L38*假设!$B$26+假设!$B$29</f>
        <v/>
      </c>
      <c r="N38" s="23">
        <f>INDEX(客户支持_三情景!$B$35:$D$35,1,MATCH(假设!$B$4,{"悲观","基准","乐观"},0))</f>
        <v/>
      </c>
      <c r="O38" s="23">
        <f>L38-M38-N38</f>
        <v/>
      </c>
      <c r="P38" s="24">
        <f>IF(L38=0,0,O38/L38)</f>
        <v/>
      </c>
      <c r="Q38" s="23">
        <f>INDEX(研发_三情景!$B$35:$D$35,1,MATCH(假设!$B$4,{"悲观","基准","乐观"},0))</f>
        <v/>
      </c>
      <c r="R38" s="23">
        <f>INDEX(销售市场_三情景!$B$35:$D$35,1,MATCH(假设!$B$4,{"悲观","基准","乐观"},0))</f>
        <v/>
      </c>
      <c r="S38" s="23">
        <f>INDEX(管理行政_三情景!$B$35:$D$35,1,MATCH(假设!$B$4,{"悲观","基准","乐观"},0))</f>
        <v/>
      </c>
      <c r="T38" s="23">
        <f>O38-Q38-R38-S38</f>
        <v/>
      </c>
      <c r="U38" s="23">
        <f>T38-W38-X38</f>
        <v/>
      </c>
      <c r="V38" s="23">
        <f>假设!$B$33+SUM($U$5:U38)+SUM($Y$5:Y38)-SUM($Z$5:Z38)</f>
        <v/>
      </c>
      <c r="W38" s="23">
        <f>INDEX(营运资本_三情景!$B$35:$D$35,1,MATCH(假设!$B$4,{"悲观","基准","乐观"},0))</f>
        <v/>
      </c>
      <c r="X38" s="23">
        <f>INDEX(税金_三情景!$B$35:$D$35,1,MATCH(假设!$B$4,{"悲观","基准","乐观"},0))</f>
        <v/>
      </c>
      <c r="Y38" s="23">
        <f>IF($A38=18,假设!$B$35,0)</f>
        <v/>
      </c>
      <c r="Z38" s="23">
        <f>L38*假设!$B$30</f>
        <v/>
      </c>
    </row>
    <row r="39">
      <c r="A39" s="17" t="n">
        <v>35</v>
      </c>
      <c r="B39" s="18">
        <f>INDEX(注册量_三情景!$B$36:$D$36,1,MATCH(假设!$B$4,{"悲观","基准","乐观"},0))</f>
        <v/>
      </c>
      <c r="C39" s="18">
        <f>B39*INDEX(转化率_三情景!$B$36:$D$36,1,MATCH(假设!$B$4,{"悲观","基准","乐观"},0))</f>
        <v/>
      </c>
      <c r="D39" s="18">
        <f>INDEX(AE数_三情景!$B$36:$D$36,1,MATCH(假设!$B$4,{"悲观","基准","乐观"},0))*INDEX(AE人效_三情景!$B$36:$D$36,1,MATCH(假设!$B$4,{"悲观","基准","乐观"},0))</f>
        <v/>
      </c>
      <c r="E39" s="18">
        <f>C39+D39</f>
        <v/>
      </c>
      <c r="F39" s="18">
        <f>INDEX(流失_三情景!$B$36:$D$36,1,MATCH(假设!$B$4,{"悲观","基准","乐观"},0))</f>
        <v/>
      </c>
      <c r="G39" s="18">
        <f>INDEX(客户数_三情景!$B$36:$D$36,1,MATCH(假设!$B$4,{"悲观","基准","乐观"},0))</f>
        <v/>
      </c>
      <c r="H39" s="18">
        <f>INDEX(席位数_三情景!$B$36:$D$36,1,MATCH(假设!$B$4,{"悲观","基准","乐观"},0))</f>
        <v/>
      </c>
      <c r="I39" s="19">
        <f>IF(G39=0,0,L39/G39)</f>
        <v/>
      </c>
      <c r="J39" s="19">
        <f>H39*假设!$B$7</f>
        <v/>
      </c>
      <c r="K39" s="19">
        <f>J39*12</f>
        <v/>
      </c>
      <c r="L39" s="19">
        <f>J39</f>
        <v/>
      </c>
      <c r="M39" s="19">
        <f>假设!$B$24+假设!$B$25*G39+L39*假设!$B$26+假设!$B$29</f>
        <v/>
      </c>
      <c r="N39" s="19">
        <f>INDEX(客户支持_三情景!$B$36:$D$36,1,MATCH(假设!$B$4,{"悲观","基准","乐观"},0))</f>
        <v/>
      </c>
      <c r="O39" s="19">
        <f>L39-M39-N39</f>
        <v/>
      </c>
      <c r="P39" s="20">
        <f>IF(L39=0,0,O39/L39)</f>
        <v/>
      </c>
      <c r="Q39" s="19">
        <f>INDEX(研发_三情景!$B$36:$D$36,1,MATCH(假设!$B$4,{"悲观","基准","乐观"},0))</f>
        <v/>
      </c>
      <c r="R39" s="19">
        <f>INDEX(销售市场_三情景!$B$36:$D$36,1,MATCH(假设!$B$4,{"悲观","基准","乐观"},0))</f>
        <v/>
      </c>
      <c r="S39" s="19">
        <f>INDEX(管理行政_三情景!$B$36:$D$36,1,MATCH(假设!$B$4,{"悲观","基准","乐观"},0))</f>
        <v/>
      </c>
      <c r="T39" s="19">
        <f>O39-Q39-R39-S39</f>
        <v/>
      </c>
      <c r="U39" s="19">
        <f>T39-W39-X39</f>
        <v/>
      </c>
      <c r="V39" s="19">
        <f>假设!$B$33+SUM($U$5:U39)+SUM($Y$5:Y39)-SUM($Z$5:Z39)</f>
        <v/>
      </c>
      <c r="W39" s="19">
        <f>INDEX(营运资本_三情景!$B$36:$D$36,1,MATCH(假设!$B$4,{"悲观","基准","乐观"},0))</f>
        <v/>
      </c>
      <c r="X39" s="19">
        <f>INDEX(税金_三情景!$B$36:$D$36,1,MATCH(假设!$B$4,{"悲观","基准","乐观"},0))</f>
        <v/>
      </c>
      <c r="Y39" s="19">
        <f>IF($A39=18,假设!$B$35,0)</f>
        <v/>
      </c>
      <c r="Z39" s="19">
        <f>L39*假设!$B$30</f>
        <v/>
      </c>
    </row>
    <row r="40">
      <c r="A40" s="21" t="n">
        <v>36</v>
      </c>
      <c r="B40" s="22">
        <f>INDEX(注册量_三情景!$B$37:$D$37,1,MATCH(假设!$B$4,{"悲观","基准","乐观"},0))</f>
        <v/>
      </c>
      <c r="C40" s="22">
        <f>B40*INDEX(转化率_三情景!$B$37:$D$37,1,MATCH(假设!$B$4,{"悲观","基准","乐观"},0))</f>
        <v/>
      </c>
      <c r="D40" s="22">
        <f>INDEX(AE数_三情景!$B$37:$D$37,1,MATCH(假设!$B$4,{"悲观","基准","乐观"},0))*INDEX(AE人效_三情景!$B$37:$D$37,1,MATCH(假设!$B$4,{"悲观","基准","乐观"},0))</f>
        <v/>
      </c>
      <c r="E40" s="22">
        <f>C40+D40</f>
        <v/>
      </c>
      <c r="F40" s="22">
        <f>INDEX(流失_三情景!$B$37:$D$37,1,MATCH(假设!$B$4,{"悲观","基准","乐观"},0))</f>
        <v/>
      </c>
      <c r="G40" s="22">
        <f>INDEX(客户数_三情景!$B$37:$D$37,1,MATCH(假设!$B$4,{"悲观","基准","乐观"},0))</f>
        <v/>
      </c>
      <c r="H40" s="22">
        <f>INDEX(席位数_三情景!$B$37:$D$37,1,MATCH(假设!$B$4,{"悲观","基准","乐观"},0))</f>
        <v/>
      </c>
      <c r="I40" s="23">
        <f>IF(G40=0,0,L40/G40)</f>
        <v/>
      </c>
      <c r="J40" s="23">
        <f>H40*假设!$B$7</f>
        <v/>
      </c>
      <c r="K40" s="23">
        <f>J40*12</f>
        <v/>
      </c>
      <c r="L40" s="23">
        <f>J40</f>
        <v/>
      </c>
      <c r="M40" s="23">
        <f>假设!$B$24+假设!$B$25*G40+L40*假设!$B$26+假设!$B$29</f>
        <v/>
      </c>
      <c r="N40" s="23">
        <f>INDEX(客户支持_三情景!$B$37:$D$37,1,MATCH(假设!$B$4,{"悲观","基准","乐观"},0))</f>
        <v/>
      </c>
      <c r="O40" s="23">
        <f>L40-M40-N40</f>
        <v/>
      </c>
      <c r="P40" s="24">
        <f>IF(L40=0,0,O40/L40)</f>
        <v/>
      </c>
      <c r="Q40" s="23">
        <f>INDEX(研发_三情景!$B$37:$D$37,1,MATCH(假设!$B$4,{"悲观","基准","乐观"},0))</f>
        <v/>
      </c>
      <c r="R40" s="23">
        <f>INDEX(销售市场_三情景!$B$37:$D$37,1,MATCH(假设!$B$4,{"悲观","基准","乐观"},0))</f>
        <v/>
      </c>
      <c r="S40" s="23">
        <f>INDEX(管理行政_三情景!$B$37:$D$37,1,MATCH(假设!$B$4,{"悲观","基准","乐观"},0))</f>
        <v/>
      </c>
      <c r="T40" s="23">
        <f>O40-Q40-R40-S40</f>
        <v/>
      </c>
      <c r="U40" s="23">
        <f>T40-W40-X40</f>
        <v/>
      </c>
      <c r="V40" s="23">
        <f>假设!$B$33+SUM($U$5:U40)+SUM($Y$5:Y40)-SUM($Z$5:Z40)</f>
        <v/>
      </c>
      <c r="W40" s="23">
        <f>INDEX(营运资本_三情景!$B$37:$D$37,1,MATCH(假设!$B$4,{"悲观","基准","乐观"},0))</f>
        <v/>
      </c>
      <c r="X40" s="23">
        <f>INDEX(税金_三情景!$B$37:$D$37,1,MATCH(假设!$B$4,{"悲观","基准","乐观"},0))</f>
        <v/>
      </c>
      <c r="Y40" s="23">
        <f>IF($A40=18,假设!$B$35,0)</f>
        <v/>
      </c>
      <c r="Z40" s="23">
        <f>L40*假设!$B$30</f>
        <v/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3" customWidth="1" min="5" max="5"/>
  </cols>
  <sheetData>
    <row r="1" ht="26" customHeight="1">
      <c r="A1" s="1" t="inlineStr">
        <is>
          <t>年度汇总 · 基准情景（三年）</t>
        </is>
      </c>
    </row>
    <row r="2">
      <c r="A2" s="2" t="inlineStr">
        <is>
          <t>取自「月度模型」的年度加总。EBITDA 为负表示仍在投入期。</t>
        </is>
      </c>
    </row>
    <row r="4">
      <c r="A4" s="16" t="inlineStr">
        <is>
          <t>科目</t>
        </is>
      </c>
      <c r="B4" s="16" t="inlineStr">
        <is>
          <t>Y1</t>
        </is>
      </c>
      <c r="C4" s="16" t="inlineStr">
        <is>
          <t>Y2</t>
        </is>
      </c>
      <c r="D4" s="16" t="inlineStr">
        <is>
          <t>Y3</t>
        </is>
      </c>
      <c r="E4" s="16" t="inlineStr">
        <is>
          <t>Y3 占收入</t>
        </is>
      </c>
    </row>
    <row r="5">
      <c r="A5" s="25" t="inlineStr">
        <is>
          <t>收入</t>
        </is>
      </c>
      <c r="B5" s="26" t="n">
        <v>214943.2001046394</v>
      </c>
      <c r="C5" s="26" t="n">
        <v>1213710.239306563</v>
      </c>
      <c r="D5" s="26" t="n">
        <v>3353565.503784535</v>
      </c>
      <c r="E5" s="27" t="n">
        <v>1</v>
      </c>
    </row>
    <row r="6">
      <c r="A6" s="7" t="inlineStr">
        <is>
          <t>服务器与基础设施 + 支付通道</t>
        </is>
      </c>
      <c r="B6" s="28" t="n">
        <v>145714.1807361549</v>
      </c>
      <c r="C6" s="28" t="n">
        <v>325310.6535466858</v>
      </c>
      <c r="D6" s="28" t="n">
        <v>557863.1709965975</v>
      </c>
      <c r="E6" s="20">
        <f>IF($B$5=0,"",D6/$D$5)</f>
        <v/>
      </c>
    </row>
    <row r="7">
      <c r="A7" s="7" t="inlineStr">
        <is>
          <t>毛利</t>
        </is>
      </c>
      <c r="B7" s="28" t="n">
        <v>69229.0193684845</v>
      </c>
      <c r="C7" s="28" t="n">
        <v>888399.5857598772</v>
      </c>
      <c r="D7" s="28" t="n">
        <v>2795702.332787937</v>
      </c>
      <c r="E7" s="20">
        <f>IF($B$5=0,"",D7/$D$5)</f>
        <v/>
      </c>
    </row>
    <row r="8">
      <c r="A8" s="7" t="inlineStr">
        <is>
          <t>毛利率</t>
        </is>
      </c>
      <c r="B8" s="29" t="n">
        <v>0.3220805279477656</v>
      </c>
      <c r="C8" s="29" t="n">
        <v>0.7319700839530301</v>
      </c>
      <c r="D8" s="29" t="n">
        <v>0.8336507307320991</v>
      </c>
      <c r="E8" s="20">
        <f>IF($B$5=0,"",D8/$D$5)</f>
        <v/>
      </c>
    </row>
    <row r="9">
      <c r="A9" s="7" t="inlineStr">
        <is>
          <t>研发 + 产品</t>
        </is>
      </c>
      <c r="B9" s="28" t="n">
        <v>646472.2222222222</v>
      </c>
      <c r="C9" s="28" t="n">
        <v>1048611.111111111</v>
      </c>
      <c r="D9" s="28" t="n">
        <v>1548833.333333333</v>
      </c>
      <c r="E9" s="20">
        <f>IF($B$5=0,"",D9/$D$5)</f>
        <v/>
      </c>
    </row>
    <row r="10">
      <c r="A10" s="7" t="inlineStr">
        <is>
          <t>销售与市场（含获客）</t>
        </is>
      </c>
      <c r="B10" s="28" t="n">
        <v>481816.6666666666</v>
      </c>
      <c r="C10" s="28" t="n">
        <v>1075033.333333333</v>
      </c>
      <c r="D10" s="28" t="n">
        <v>1642166.666666667</v>
      </c>
      <c r="E10" s="20">
        <f>IF($B$5=0,"",D10/$D$5)</f>
        <v/>
      </c>
    </row>
    <row r="11">
      <c r="A11" s="7" t="inlineStr">
        <is>
          <t>管理与行政</t>
        </is>
      </c>
      <c r="B11" s="28" t="n">
        <v>278000</v>
      </c>
      <c r="C11" s="28" t="n">
        <v>332083.3333333333</v>
      </c>
      <c r="D11" s="28" t="n">
        <v>396000</v>
      </c>
      <c r="E11" s="20">
        <f>IF($B$5=0,"",D11/$D$5)</f>
        <v/>
      </c>
    </row>
    <row r="12">
      <c r="A12" s="25" t="inlineStr">
        <is>
          <t>EBITDA</t>
        </is>
      </c>
      <c r="B12" s="26" t="n">
        <v>-1337059.869520404</v>
      </c>
      <c r="C12" s="26" t="n">
        <v>-1567328.192017901</v>
      </c>
      <c r="D12" s="26" t="n">
        <v>-791297.6672120625</v>
      </c>
      <c r="E12" s="20">
        <f>IF($B$5=0,"",D12/$D$5)</f>
        <v/>
      </c>
    </row>
    <row r="13">
      <c r="A13" s="7" t="inlineStr">
        <is>
          <t>EBITDA 利润率</t>
        </is>
      </c>
      <c r="B13" s="29" t="n">
        <v>-6.220526487320799</v>
      </c>
      <c r="C13" s="29" t="n">
        <v>-1.29135286270088</v>
      </c>
      <c r="D13" s="29" t="n">
        <v>-0.2359571227456492</v>
      </c>
      <c r="E13" s="20">
        <f>IF($B$5=0,"",D13/$D$5)</f>
        <v/>
      </c>
    </row>
    <row r="14">
      <c r="A14" s="25" t="inlineStr">
        <is>
          <t>期末 ARR</t>
        </is>
      </c>
      <c r="B14" s="26" t="n">
        <v>485565.5310102226</v>
      </c>
      <c r="C14" s="26" t="n">
        <v>2004425.063893618</v>
      </c>
      <c r="D14" s="26" t="n">
        <v>4627347.063709484</v>
      </c>
      <c r="E14" s="20">
        <f>IF($B$5=0,"",D14/$D$5)</f>
        <v/>
      </c>
    </row>
    <row r="15">
      <c r="A15" s="7" t="inlineStr">
        <is>
          <t>ARR 同比增速</t>
        </is>
      </c>
      <c r="B15" s="29" t="n"/>
      <c r="C15" s="29" t="n">
        <v>3.128021731121229</v>
      </c>
      <c r="D15" s="29" t="n">
        <v>1.30856575636747</v>
      </c>
      <c r="E15" s="20">
        <f>IF($B$5=0,"",D15/$D$5)</f>
        <v/>
      </c>
    </row>
    <row r="16">
      <c r="A16" s="7" t="inlineStr">
        <is>
          <t>经营现金流</t>
        </is>
      </c>
      <c r="B16" s="28" t="n">
        <v>-1254749.022402018</v>
      </c>
      <c r="C16" s="28" t="n">
        <v>-1521411.161480617</v>
      </c>
      <c r="D16" s="28" t="n">
        <v>-1480408.562261626</v>
      </c>
      <c r="E16" s="20">
        <f>IF($B$5=0,"",D16/$D$5)</f>
        <v/>
      </c>
    </row>
    <row r="17">
      <c r="A17" s="7" t="inlineStr">
        <is>
          <t>期末现金</t>
        </is>
      </c>
      <c r="B17" s="28" t="n">
        <v>2242671.659196727</v>
      </c>
      <c r="C17" s="28" t="n">
        <v>12706695.97484443</v>
      </c>
      <c r="D17" s="28" t="n">
        <v>11186044.62653739</v>
      </c>
      <c r="E17" s="20">
        <f>IF($B$5=0,"",D17/$D$5)</f>
        <v/>
      </c>
    </row>
    <row r="18">
      <c r="A18" s="7" t="inlineStr">
        <is>
          <t>期末付费客户数</t>
        </is>
      </c>
      <c r="B18" s="30" t="n">
        <v>99.85990536955204</v>
      </c>
      <c r="C18" s="30" t="n">
        <v>356.3179808007749</v>
      </c>
      <c r="D18" s="30" t="n">
        <v>714.1997901759291</v>
      </c>
      <c r="E18" s="20">
        <f>IF($B$5=0,"",D18/$D$5)</f>
        <v/>
      </c>
    </row>
    <row r="19">
      <c r="A19" s="7" t="inlineStr">
        <is>
          <t>平均团队人数</t>
        </is>
      </c>
      <c r="B19" s="31" t="n">
        <v>11.86805555555556</v>
      </c>
      <c r="C19" s="31" t="n">
        <v>21.65277777777778</v>
      </c>
      <c r="D19" s="31" t="n">
        <v>32.39583333333334</v>
      </c>
      <c r="E19" s="20">
        <f>IF($B$5=0,"",D19/$D$5)</f>
        <v/>
      </c>
    </row>
    <row r="20">
      <c r="A20" s="7" t="inlineStr">
        <is>
          <t>人效 ARR/人</t>
        </is>
      </c>
      <c r="B20" s="28" t="n">
        <v>40913.65504123585</v>
      </c>
      <c r="C20" s="28" t="n">
        <v>92571.26658136016</v>
      </c>
      <c r="D20" s="28" t="n">
        <v>142837.7228669166</v>
      </c>
      <c r="E20" s="20">
        <f>IF($B$5=0,"",D20/$D$5)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22" customWidth="1" min="5" max="5"/>
    <col width="10" customWidth="1" min="6" max="6"/>
    <col width="44" customWidth="1" min="7" max="7"/>
  </cols>
  <sheetData>
    <row r="1" ht="26" customHeight="1">
      <c r="A1" s="1" t="inlineStr">
        <is>
          <t>单位经济与 SaaS 指标看板</t>
        </is>
      </c>
    </row>
    <row r="2">
      <c r="A2" s="2" t="inlineStr">
        <is>
          <t>绿色=达标，黄色=临界，红色=未达标。行业带来源见报告第十节。</t>
        </is>
      </c>
    </row>
    <row r="4">
      <c r="A4" s="16" t="inlineStr">
        <is>
          <t>指标</t>
        </is>
      </c>
      <c r="B4" s="16" t="inlineStr">
        <is>
          <t>基准 M12</t>
        </is>
      </c>
      <c r="C4" s="16" t="inlineStr">
        <is>
          <t>基准 M24</t>
        </is>
      </c>
      <c r="D4" s="16" t="inlineStr">
        <is>
          <t>基准 M36</t>
        </is>
      </c>
      <c r="E4" s="16" t="inlineStr">
        <is>
          <t>行业健康带</t>
        </is>
      </c>
      <c r="F4" s="16" t="inlineStr">
        <is>
          <t>判定</t>
        </is>
      </c>
      <c r="G4" s="16" t="inlineStr">
        <is>
          <t>说明</t>
        </is>
      </c>
    </row>
    <row r="5">
      <c r="A5" s="7" t="inlineStr">
        <is>
          <t>直接 CAC (US$)</t>
        </is>
      </c>
      <c r="B5" s="28" t="n">
        <v>1106.346483704974</v>
      </c>
      <c r="C5" s="28" t="n">
        <v>750.0662602703418</v>
      </c>
      <c r="D5" s="28" t="n">
        <v>675.0483558994197</v>
      </c>
      <c r="E5" s="32" t="inlineStr">
        <is>
          <t>$500–700</t>
        </is>
      </c>
      <c r="F5" s="33" t="inlineStr">
        <is>
          <t>达标</t>
        </is>
      </c>
      <c r="G5" s="34" t="inlineStr">
        <is>
          <t>营销支出 ÷ 新客</t>
        </is>
      </c>
    </row>
    <row r="6">
      <c r="A6" s="7" t="inlineStr">
        <is>
          <t>全载 CAC (US$)</t>
        </is>
      </c>
      <c r="B6" s="28" t="n">
        <v>3811.463693539165</v>
      </c>
      <c r="C6" s="28" t="n">
        <v>3052.978767264481</v>
      </c>
      <c r="D6" s="28" t="n">
        <v>2809.155383623469</v>
      </c>
      <c r="E6" s="32" t="inlineStr">
        <is>
          <t>—</t>
        </is>
      </c>
      <c r="F6" s="33" t="inlineStr">
        <is>
          <t>达标</t>
        </is>
      </c>
      <c r="G6" s="34" t="inlineStr">
        <is>
          <t>含销售与市场人力，投资人口径</t>
        </is>
      </c>
    </row>
    <row r="7">
      <c r="A7" s="7" t="inlineStr">
        <is>
          <t>CAC 回收期 (月)</t>
        </is>
      </c>
      <c r="B7" s="31" t="n">
        <v>16.42354762697848</v>
      </c>
      <c r="C7" s="31" t="n">
        <v>8.302522439552568</v>
      </c>
      <c r="D7" s="31" t="n">
        <v>6.028252183889677</v>
      </c>
      <c r="E7" s="32" t="inlineStr">
        <is>
          <t>6–12 月</t>
        </is>
      </c>
      <c r="F7" s="33" t="inlineStr">
        <is>
          <t>达标</t>
        </is>
      </c>
      <c r="G7" s="34" t="inlineStr">
        <is>
          <t>毛利口径：CAC ÷ (ARPU × 毛利率)</t>
        </is>
      </c>
    </row>
    <row r="8">
      <c r="A8" s="7" t="inlineStr">
        <is>
          <t>LTV/CAC</t>
        </is>
      </c>
      <c r="B8" s="35" t="n">
        <v>1.749708649682018</v>
      </c>
      <c r="C8" s="35" t="n">
        <v>3.6849135296171</v>
      </c>
      <c r="D8" s="35" t="n">
        <v>5.502815829519668</v>
      </c>
      <c r="E8" s="32" t="inlineStr">
        <is>
          <t>3–5x</t>
        </is>
      </c>
      <c r="F8" s="36" t="inlineStr">
        <is>
          <t>临界</t>
        </is>
      </c>
      <c r="G8" s="34" t="inlineStr">
        <is>
          <t>恒等式：1 ÷ (流失率 × 回收期)</t>
        </is>
      </c>
    </row>
    <row r="9">
      <c r="A9" s="7" t="inlineStr">
        <is>
          <t>月流失率</t>
        </is>
      </c>
      <c r="B9" s="37" t="n">
        <v>0.03479904190302308</v>
      </c>
      <c r="C9" s="37" t="n">
        <v>0.03268606505951752</v>
      </c>
      <c r="D9" s="37" t="n">
        <v>0.03014557762909251</v>
      </c>
      <c r="E9" s="32" t="inlineStr">
        <is>
          <t>2.8–4.8%</t>
        </is>
      </c>
      <c r="F9" s="33" t="inlineStr">
        <is>
          <t>达标</t>
        </is>
      </c>
      <c r="G9" s="34" t="inlineStr">
        <is>
          <t>PLG 与销售客分群混合</t>
        </is>
      </c>
    </row>
    <row r="10">
      <c r="A10" s="7" t="inlineStr">
        <is>
          <t>GRR (12月cohort)</t>
        </is>
      </c>
      <c r="B10" s="29" t="n">
        <v>0</v>
      </c>
      <c r="C10" s="29" t="n">
        <v>0.636388655859522</v>
      </c>
      <c r="D10" s="29" t="n">
        <v>0.6591356039703791</v>
      </c>
      <c r="E10" s="32" t="inlineStr">
        <is>
          <t>60–78%</t>
        </is>
      </c>
      <c r="F10" s="33" t="inlineStr">
        <is>
          <t>达标</t>
        </is>
      </c>
      <c r="G10" s="34" t="inlineStr">
        <is>
          <t>剔除席位扩张的 cohort 留存</t>
        </is>
      </c>
    </row>
    <row r="11">
      <c r="A11" s="7" t="inlineStr">
        <is>
          <t>NRR (12月cohort)</t>
        </is>
      </c>
      <c r="B11" s="29" t="n">
        <v>0</v>
      </c>
      <c r="C11" s="29" t="n">
        <v>0.7929664801216449</v>
      </c>
      <c r="D11" s="29" t="n">
        <v>0.8213101144886247</v>
      </c>
      <c r="E11" s="32" t="inlineStr">
        <is>
          <t>75–95%（A轮要 ≥100%）</t>
        </is>
      </c>
      <c r="F11" s="33" t="inlineStr">
        <is>
          <t>达标</t>
        </is>
      </c>
      <c r="G11" s="34" t="inlineStr">
        <is>
          <t>含席位扩张；A 轮硬伤项</t>
        </is>
      </c>
    </row>
    <row r="12">
      <c r="A12" s="7" t="inlineStr">
        <is>
          <t>毛利率</t>
        </is>
      </c>
      <c r="B12" s="29" t="n">
        <v>0.5727292444273486</v>
      </c>
      <c r="C12" s="29" t="n">
        <v>0.7844095741996148</v>
      </c>
      <c r="D12" s="29" t="n">
        <v>0.8630843470391051</v>
      </c>
      <c r="E12" s="32" t="inlineStr">
        <is>
          <t>78–90%</t>
        </is>
      </c>
      <c r="F12" s="33" t="inlineStr">
        <is>
          <t>达标</t>
        </is>
      </c>
      <c r="G12" s="34" t="inlineStr">
        <is>
          <t>纯软件 80% 中位</t>
        </is>
      </c>
    </row>
    <row r="13">
      <c r="A13" s="7" t="inlineStr">
        <is>
          <t>烧钱倍数</t>
        </is>
      </c>
      <c r="B13" s="35" t="n"/>
      <c r="C13" s="35" t="n"/>
      <c r="D13" s="35" t="n">
        <v>0.5644119658783423</v>
      </c>
      <c r="E13" s="32" t="inlineStr">
        <is>
          <t>&lt; 1.5x</t>
        </is>
      </c>
      <c r="F13" s="33" t="inlineStr">
        <is>
          <t>达标</t>
        </is>
      </c>
      <c r="G13" s="34" t="inlineStr">
        <is>
          <t>净消耗 ÷ 净新增 ARR</t>
        </is>
      </c>
    </row>
    <row r="14">
      <c r="A14" s="7" t="inlineStr">
        <is>
          <t>Rule of 40</t>
        </is>
      </c>
      <c r="B14" s="30" t="n"/>
      <c r="C14" s="30" t="n"/>
      <c r="D14" s="30" t="n">
        <v>107.2608633621821</v>
      </c>
      <c r="E14" s="32" t="inlineStr">
        <is>
          <t>&gt; 40</t>
        </is>
      </c>
      <c r="F14" s="33" t="inlineStr">
        <is>
          <t>达标</t>
        </is>
      </c>
      <c r="G14" s="34" t="inlineStr">
        <is>
          <t>ARR 增速% + EBITDA 利润率%</t>
        </is>
      </c>
    </row>
    <row r="15">
      <c r="A15" s="7" t="inlineStr">
        <is>
          <t>人效 ARR/人 (Y3)</t>
        </is>
      </c>
      <c r="B15" s="28" t="n"/>
      <c r="C15" s="28" t="n"/>
      <c r="D15" s="28" t="n">
        <v>142837.7228669166</v>
      </c>
      <c r="E15" s="32" t="inlineStr">
        <is>
          <t>中位 $175K</t>
        </is>
      </c>
      <c r="F15" s="36" t="inlineStr">
        <is>
          <t>临界</t>
        </is>
      </c>
      <c r="G15" s="34" t="inlineStr">
        <is>
          <t>Benchmarkit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 ht="26" customHeight="1">
      <c r="A1" s="1" t="inlineStr">
        <is>
          <t>三情景对比</t>
        </is>
      </c>
    </row>
    <row r="2">
      <c r="A2" s="2" t="inlineStr">
        <is>
          <t>同一套模型跑三组参数。基准参数经 81 组扫描按行业基准带校准。</t>
        </is>
      </c>
    </row>
    <row r="4">
      <c r="A4" s="16" t="inlineStr">
        <is>
          <t>指标</t>
        </is>
      </c>
      <c r="B4" s="16" t="inlineStr">
        <is>
          <t>悲观</t>
        </is>
      </c>
      <c r="C4" s="16" t="inlineStr">
        <is>
          <t>基准</t>
        </is>
      </c>
      <c r="D4" s="16" t="inlineStr">
        <is>
          <t>乐观</t>
        </is>
      </c>
      <c r="E4" s="16" t="inlineStr">
        <is>
          <t>备注</t>
        </is>
      </c>
    </row>
    <row r="5">
      <c r="A5" s="7" t="inlineStr">
        <is>
          <t>M36 ARR</t>
        </is>
      </c>
      <c r="B5" s="28" t="n">
        <v>1189042.783461588</v>
      </c>
      <c r="C5" s="38" t="n">
        <v>4627347.063709484</v>
      </c>
      <c r="D5" s="28" t="n">
        <v>8860579.329309925</v>
      </c>
      <c r="E5" s="34" t="inlineStr">
        <is>
          <t>基准约 $4.6M</t>
        </is>
      </c>
    </row>
    <row r="6">
      <c r="A6" s="7" t="inlineStr">
        <is>
          <t>M36 MRR</t>
        </is>
      </c>
      <c r="B6" s="28" t="n">
        <v>99086.89862179905</v>
      </c>
      <c r="C6" s="38" t="n">
        <v>385612.2553091237</v>
      </c>
      <c r="D6" s="28" t="n">
        <v>738381.6107758271</v>
      </c>
      <c r="E6" s="34" t="inlineStr"/>
    </row>
    <row r="7">
      <c r="A7" s="7" t="inlineStr">
        <is>
          <t>M36 付费客户数</t>
        </is>
      </c>
      <c r="B7" s="30" t="n">
        <v>251.4115424170596</v>
      </c>
      <c r="C7" s="39" t="n">
        <v>714.1997901759291</v>
      </c>
      <c r="D7" s="30" t="n">
        <v>1220.639727449319</v>
      </c>
      <c r="E7" s="34" t="inlineStr"/>
    </row>
    <row r="8">
      <c r="A8" s="7" t="inlineStr">
        <is>
          <t>M36 ARPU</t>
        </is>
      </c>
      <c r="B8" s="28" t="n">
        <v>394.1223130377464</v>
      </c>
      <c r="C8" s="38" t="n">
        <v>539.9221066896921</v>
      </c>
      <c r="D8" s="28" t="n">
        <v>604.913631902485</v>
      </c>
      <c r="E8" s="34" t="inlineStr">
        <is>
          <t>含席位扩张</t>
        </is>
      </c>
    </row>
    <row r="9">
      <c r="A9" s="7" t="inlineStr">
        <is>
          <t>Y1 收入</t>
        </is>
      </c>
      <c r="B9" s="28" t="n">
        <v>98745.81622328685</v>
      </c>
      <c r="C9" s="38" t="n">
        <v>214943.2001046394</v>
      </c>
      <c r="D9" s="28" t="n">
        <v>339587.6486725214</v>
      </c>
      <c r="E9" s="34" t="inlineStr"/>
    </row>
    <row r="10">
      <c r="A10" s="7" t="inlineStr">
        <is>
          <t>Y2 收入</t>
        </is>
      </c>
      <c r="B10" s="28" t="n">
        <v>417683.3037355809</v>
      </c>
      <c r="C10" s="38" t="n">
        <v>1213710.239306563</v>
      </c>
      <c r="D10" s="28" t="n">
        <v>2088661.159294599</v>
      </c>
      <c r="E10" s="34" t="inlineStr"/>
    </row>
    <row r="11">
      <c r="A11" s="7" t="inlineStr">
        <is>
          <t>Y3 收入</t>
        </is>
      </c>
      <c r="B11" s="28" t="n">
        <v>925170.2101290964</v>
      </c>
      <c r="C11" s="38" t="n">
        <v>3353565.503784535</v>
      </c>
      <c r="D11" s="28" t="n">
        <v>6232315.713002604</v>
      </c>
      <c r="E11" s="34" t="inlineStr"/>
    </row>
    <row r="12">
      <c r="A12" s="7" t="inlineStr">
        <is>
          <t>Y1 EBITDA</t>
        </is>
      </c>
      <c r="B12" s="28" t="n">
        <v>-1771488.29467841</v>
      </c>
      <c r="C12" s="38" t="n">
        <v>-1337059.869520404</v>
      </c>
      <c r="D12" s="28" t="n">
        <v>-1230002.589862732</v>
      </c>
      <c r="E12" s="34" t="inlineStr"/>
    </row>
    <row r="13">
      <c r="A13" s="7" t="inlineStr">
        <is>
          <t>Y2 EBITDA</t>
        </is>
      </c>
      <c r="B13" s="28" t="n">
        <v>-2823657.242160184</v>
      </c>
      <c r="C13" s="38" t="n">
        <v>-1567328.192017901</v>
      </c>
      <c r="D13" s="28" t="n">
        <v>-760789.3932226822</v>
      </c>
      <c r="E13" s="34" t="inlineStr"/>
    </row>
    <row r="14">
      <c r="A14" s="7" t="inlineStr">
        <is>
          <t>Y3 EBITDA</t>
        </is>
      </c>
      <c r="B14" s="28" t="n">
        <v>-3736309.644877922</v>
      </c>
      <c r="C14" s="38" t="n">
        <v>-791297.6672120625</v>
      </c>
      <c r="D14" s="28" t="n">
        <v>1915044.696826769</v>
      </c>
      <c r="E14" s="34" t="inlineStr">
        <is>
          <t>负=仍在投入期</t>
        </is>
      </c>
    </row>
    <row r="15">
      <c r="A15" s="7" t="inlineStr">
        <is>
          <t>现金谷</t>
        </is>
      </c>
      <c r="B15" s="28" t="n">
        <v>-3631324.483946817</v>
      </c>
      <c r="C15" s="38" t="n">
        <v>1632596.318134657</v>
      </c>
      <c r="D15" s="28" t="n">
        <v>2347029.80904333</v>
      </c>
      <c r="E15" s="34" t="inlineStr">
        <is>
          <t>含 A 轮</t>
        </is>
      </c>
    </row>
    <row r="16">
      <c r="A16" s="7" t="inlineStr">
        <is>
          <t>现金谷月份</t>
        </is>
      </c>
      <c r="B16" s="30" t="n">
        <v>32</v>
      </c>
      <c r="C16" s="39" t="n">
        <v>17</v>
      </c>
      <c r="D16" s="30" t="n">
        <v>13</v>
      </c>
      <c r="E16" s="34" t="inlineStr"/>
    </row>
    <row r="17">
      <c r="A17" s="7" t="inlineStr">
        <is>
          <t>经营盈亏平衡月</t>
        </is>
      </c>
      <c r="B17" s="30" t="n">
        <v>99</v>
      </c>
      <c r="C17" s="39" t="n">
        <v>36</v>
      </c>
      <c r="D17" s="30" t="n">
        <v>25</v>
      </c>
      <c r="E17" s="34" t="inlineStr">
        <is>
          <t>3年内未达=99</t>
        </is>
      </c>
    </row>
    <row r="18">
      <c r="A18" s="7" t="inlineStr">
        <is>
          <t>M36 月流失率</t>
        </is>
      </c>
      <c r="B18" s="37" t="n">
        <v>0.05414961853904405</v>
      </c>
      <c r="C18" s="40" t="n">
        <v>0.03014557762909251</v>
      </c>
      <c r="D18" s="37" t="n">
        <v>0.02284102681604965</v>
      </c>
      <c r="E18" s="34" t="inlineStr"/>
    </row>
    <row r="19">
      <c r="A19" s="7" t="inlineStr">
        <is>
          <t>M36 CAC 回收期(月)</t>
        </is>
      </c>
      <c r="B19" s="31" t="n">
        <v>29.94173704598991</v>
      </c>
      <c r="C19" s="41" t="n">
        <v>6.028252183889677</v>
      </c>
      <c r="D19" s="31" t="n">
        <v>3.282399702630066</v>
      </c>
      <c r="E19" s="34" t="inlineStr">
        <is>
          <t>毛利口径</t>
        </is>
      </c>
    </row>
    <row r="20">
      <c r="A20" s="7" t="inlineStr">
        <is>
          <t>M36 LTV/CAC</t>
        </is>
      </c>
      <c r="B20" s="35" t="n">
        <v>0.6167761993437819</v>
      </c>
      <c r="C20" s="42" t="n">
        <v>5.502815829519668</v>
      </c>
      <c r="D20" s="35" t="n">
        <v>13.33806752412035</v>
      </c>
      <c r="E20" s="34" t="inlineStr"/>
    </row>
    <row r="21">
      <c r="A21" s="7" t="inlineStr">
        <is>
          <t>M36 GRR</t>
        </is>
      </c>
      <c r="B21" s="29" t="n">
        <v>0.4819038564980062</v>
      </c>
      <c r="C21" s="43" t="n">
        <v>0.6591356039703791</v>
      </c>
      <c r="D21" s="29" t="n">
        <v>0.7301313702753297</v>
      </c>
      <c r="E21" s="34" t="inlineStr"/>
    </row>
    <row r="22">
      <c r="A22" s="7" t="inlineStr">
        <is>
          <t>M36 NRR</t>
        </is>
      </c>
      <c r="B22" s="29" t="n">
        <v>0.5271097622517671</v>
      </c>
      <c r="C22" s="43" t="n">
        <v>0.8213101144886247</v>
      </c>
      <c r="D22" s="29" t="n">
        <v>0.981945520114926</v>
      </c>
      <c r="E22" s="34" t="inlineStr">
        <is>
          <t>A 轮要 ≥100%</t>
        </is>
      </c>
    </row>
    <row r="23">
      <c r="A23" s="7" t="inlineStr">
        <is>
          <t>Y3 Rule of 40</t>
        </is>
      </c>
      <c r="B23" s="30" t="n">
        <v>-313.1390984338926</v>
      </c>
      <c r="C23" s="39" t="n">
        <v>107.2608633621821</v>
      </c>
      <c r="D23" s="30" t="n">
        <v>179.9957074776356</v>
      </c>
      <c r="E23" s="34" t="inlineStr"/>
    </row>
    <row r="24">
      <c r="A24" s="7" t="inlineStr">
        <is>
          <t>Y3 烧钱倍数</t>
        </is>
      </c>
      <c r="B24" s="35" t="n">
        <v>6.820293800152782</v>
      </c>
      <c r="C24" s="42" t="n">
        <v>0.5644119658783423</v>
      </c>
      <c r="D24" s="35" t="n">
        <v>-0.1122780055715551</v>
      </c>
      <c r="E24" s="34" t="inlineStr"/>
    </row>
    <row r="25">
      <c r="A25" s="7" t="inlineStr">
        <is>
          <t>Y3 人效 ARR/人</t>
        </is>
      </c>
      <c r="B25" s="28" t="n">
        <v>30407.06105815464</v>
      </c>
      <c r="C25" s="38" t="n">
        <v>142837.7228669166</v>
      </c>
      <c r="D25" s="28" t="n">
        <v>273509.8442487951</v>
      </c>
      <c r="E25" s="34" t="inlineStr">
        <is>
          <t>中位 $175K</t>
        </is>
      </c>
    </row>
    <row r="26">
      <c r="A26" s="7" t="inlineStr">
        <is>
          <t>A 轮时点(月)</t>
        </is>
      </c>
      <c r="B26" s="30" t="n">
        <v>33</v>
      </c>
      <c r="C26" s="39" t="n">
        <v>18</v>
      </c>
      <c r="D26" s="30" t="n">
        <v>14</v>
      </c>
      <c r="E26" s="34" t="inlineStr">
        <is>
          <t>ARR 过 $1M 的月份</t>
        </is>
      </c>
    </row>
    <row r="27">
      <c r="A27" s="7" t="inlineStr">
        <is>
          <t>A 轮规模</t>
        </is>
      </c>
      <c r="B27" s="28" t="n">
        <v>12000000</v>
      </c>
      <c r="C27" s="38" t="n">
        <v>12000000</v>
      </c>
      <c r="D27" s="28" t="n">
        <v>12000000</v>
      </c>
      <c r="E27" s="34" t="inlineStr">
        <is>
          <t>市场标准 $12M</t>
        </is>
      </c>
    </row>
    <row r="28">
      <c r="A28" s="7" t="inlineStr">
        <is>
          <t>A 轮投后</t>
        </is>
      </c>
      <c r="B28" s="28" t="n">
        <v>67039106.1452514</v>
      </c>
      <c r="C28" s="38" t="n">
        <v>67039106.1452514</v>
      </c>
      <c r="D28" s="28" t="n">
        <v>67039106.1452514</v>
      </c>
      <c r="E28" s="34" t="inlineStr">
        <is>
          <t>Carta 中位 $67.7M</t>
        </is>
      </c>
    </row>
    <row r="29">
      <c r="A29" s="7" t="inlineStr">
        <is>
          <t>生存所需资金</t>
        </is>
      </c>
      <c r="B29" s="28" t="n">
        <v>5258456.19312852</v>
      </c>
      <c r="C29" s="38" t="n">
        <v>413084.7027393938</v>
      </c>
      <c r="D29" s="28" t="n">
        <v>0</v>
      </c>
      <c r="E29" s="34" t="inlineStr">
        <is>
          <t>现金层面最小额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2" customWidth="1" min="5" max="5"/>
    <col width="58" customWidth="1" min="6" max="6"/>
  </cols>
  <sheetData>
    <row r="1" ht="26" customHeight="1">
      <c r="A1" s="1" t="inlineStr">
        <is>
          <t>融资节奏建议（基准情景）</t>
        </is>
      </c>
    </row>
    <row r="2">
      <c r="A2" s="2" t="inlineStr">
        <is>
          <t>时点由 ARR 门槛推导，规模由市场标准反推。生存所需资金仅作下限参考。</t>
        </is>
      </c>
    </row>
    <row r="4">
      <c r="A4" s="16" t="inlineStr">
        <is>
          <t>项目</t>
        </is>
      </c>
      <c r="B4" s="16" t="inlineStr">
        <is>
          <t>时点</t>
        </is>
      </c>
      <c r="C4" s="16" t="inlineStr">
        <is>
          <t>金额</t>
        </is>
      </c>
      <c r="D4" s="16" t="inlineStr">
        <is>
          <t>投后估值</t>
        </is>
      </c>
      <c r="E4" s="16" t="inlineStr">
        <is>
          <t>稀释</t>
        </is>
      </c>
      <c r="F4" s="16" t="inlineStr">
        <is>
          <t>触发条件</t>
        </is>
      </c>
    </row>
    <row r="5" ht="30" customHeight="1">
      <c r="A5" s="25" t="inlineStr">
        <is>
          <t>Seed</t>
        </is>
      </c>
      <c r="B5" s="17" t="inlineStr">
        <is>
          <t>M0</t>
        </is>
      </c>
      <c r="C5" s="28" t="n">
        <v>3500000</v>
      </c>
      <c r="D5" s="28" t="n">
        <v>20000000</v>
      </c>
      <c r="E5" s="29" t="n">
        <v>0.175</v>
      </c>
      <c r="F5" s="44" t="inlineStr">
        <is>
          <t>产品上线 + 前 10 个付费客户。Carta SaaS 种子轮中位：$4.1M 募资 / $23.4M 投后 / 19–20% 稀释</t>
        </is>
      </c>
    </row>
    <row r="6" ht="30" customHeight="1">
      <c r="A6" s="25" t="inlineStr">
        <is>
          <t>Series A</t>
        </is>
      </c>
      <c r="B6" s="17" t="inlineStr">
        <is>
          <t>M18</t>
        </is>
      </c>
      <c r="C6" s="28" t="n">
        <v>12000000</v>
      </c>
      <c r="D6" s="28" t="n">
        <v>67039106.1452514</v>
      </c>
      <c r="E6" s="29" t="n">
        <v>0.179</v>
      </c>
      <c r="F6" s="44" t="inlineStr">
        <is>
          <t>ARR 过 $1M（打款时 1096K）+ 月增速 &gt;15% + NRR ≥ 100%</t>
        </is>
      </c>
    </row>
    <row r="7" ht="30" customHeight="1">
      <c r="A7" s="25" t="inlineStr">
        <is>
          <t>Series B</t>
        </is>
      </c>
      <c r="B7" s="17" t="inlineStr">
        <is>
          <t>M33–36</t>
        </is>
      </c>
      <c r="C7" s="28" t="n">
        <v>30000000</v>
      </c>
      <c r="D7" s="28" t="n">
        <v>200000000</v>
      </c>
      <c r="E7" s="29" t="n">
        <v>0.13</v>
      </c>
      <c r="F7" s="44" t="inlineStr">
        <is>
          <t>ARR $8–15M + 烧钱倍数 &lt;1.0x。基准 M36 ARR 4.63M，刚卡在门槛边缘</t>
        </is>
      </c>
    </row>
    <row r="9">
      <c r="A9" s="45" t="inlineStr">
        <is>
          <t>关键推导</t>
        </is>
      </c>
    </row>
    <row r="10">
      <c r="A10" s="7" t="inlineStr">
        <is>
          <t>无 A 轮时现金击穿月</t>
        </is>
      </c>
      <c r="B10" s="46" t="inlineStr">
        <is>
          <t>M28</t>
        </is>
      </c>
      <c r="C10" s="34" t="inlineStr">
        <is>
          <t>低于 $300K 安全线</t>
        </is>
      </c>
    </row>
    <row r="11">
      <c r="A11" s="7" t="inlineStr">
        <is>
          <t>ARR $1M 达成月（A 轮门槛）</t>
        </is>
      </c>
      <c r="B11" s="46" t="inlineStr">
        <is>
          <t>M18</t>
        </is>
      </c>
      <c r="C11" s="34" t="inlineStr">
        <is>
          <t>Carta 主流门槛 $1–3M</t>
        </is>
      </c>
    </row>
    <row r="12">
      <c r="A12" s="7" t="inlineStr">
        <is>
          <t>应开始接触投资人</t>
        </is>
      </c>
      <c r="B12" s="46" t="inlineStr">
        <is>
          <t>M13</t>
        </is>
      </c>
      <c r="C12" s="34" t="inlineStr">
        <is>
          <t>首次会面到打款需 4–6 个月</t>
        </is>
      </c>
    </row>
    <row r="13">
      <c r="A13" s="7" t="inlineStr">
        <is>
          <t>打款时 ARR</t>
        </is>
      </c>
      <c r="B13" s="46" t="inlineStr">
        <is>
          <t>$1096K</t>
        </is>
      </c>
      <c r="C13" s="34" t="inlineStr">
        <is>
          <t>必须 ≥ $800K–1M 绝对下限</t>
        </is>
      </c>
    </row>
    <row r="14">
      <c r="A14" s="7" t="inlineStr">
        <is>
          <t>月烧钱速度</t>
        </is>
      </c>
      <c r="B14" s="46" t="inlineStr">
        <is>
          <t>$119K</t>
        </is>
      </c>
      <c r="C14" s="34" t="inlineStr">
        <is>
          <t>无 A 轮情形</t>
        </is>
      </c>
    </row>
    <row r="15">
      <c r="A15" s="7" t="inlineStr">
        <is>
          <t>生存所需资金</t>
        </is>
      </c>
      <c r="B15" s="46" t="inlineStr">
        <is>
          <t>$0.4M</t>
        </is>
      </c>
      <c r="C15" s="34" t="inlineStr">
        <is>
          <t>现金层面最小额</t>
        </is>
      </c>
    </row>
    <row r="16">
      <c r="A16" s="7" t="inlineStr">
        <is>
          <t>24 个月计划所需</t>
        </is>
      </c>
      <c r="B16" s="46" t="inlineStr">
        <is>
          <t>$1.7M</t>
        </is>
      </c>
      <c r="C16" s="34" t="inlineStr">
        <is>
          <t>按当前烧钱速度</t>
        </is>
      </c>
    </row>
    <row r="17">
      <c r="A17" s="7" t="inlineStr">
        <is>
          <t>建议规模（市场标准）</t>
        </is>
      </c>
      <c r="B17" s="46" t="inlineStr">
        <is>
          <t>$12M</t>
        </is>
      </c>
      <c r="C17" s="34" t="inlineStr">
        <is>
          <t>Carta A 轮中位 $12M</t>
        </is>
      </c>
    </row>
    <row r="18">
      <c r="A18" s="7" t="inlineStr">
        <is>
          <t>投入不足信号</t>
        </is>
      </c>
      <c r="B18" s="46" t="inlineStr">
        <is>
          <t>97%</t>
        </is>
      </c>
      <c r="C18" s="34" t="inlineStr">
        <is>
          <t>现金够活，但计划撑不起 $5M+ ARR 目标</t>
        </is>
      </c>
    </row>
    <row r="20">
      <c r="A20" s="45" t="inlineStr">
        <is>
          <t>稀释路径（Carta 2025 基准对照）</t>
        </is>
      </c>
    </row>
    <row r="21">
      <c r="A21" s="47" t="inlineStr">
        <is>
          <t>成立时</t>
        </is>
      </c>
      <c r="B21" s="46" t="inlineStr">
        <is>
          <t>100%</t>
        </is>
      </c>
      <c r="C21" s="48" t="inlineStr">
        <is>
          <t>Carta 100%</t>
        </is>
      </c>
    </row>
    <row r="22">
      <c r="A22" s="47" t="inlineStr">
        <is>
          <t>Seed 后</t>
        </is>
      </c>
      <c r="B22" s="46" t="inlineStr">
        <is>
          <t>82.5%</t>
        </is>
      </c>
      <c r="C22" s="48" t="inlineStr">
        <is>
          <t>Carta 56.2%</t>
        </is>
      </c>
    </row>
    <row r="23">
      <c r="A23" s="47" t="inlineStr">
        <is>
          <t>Series A 后</t>
        </is>
      </c>
      <c r="B23" s="46" t="inlineStr">
        <is>
          <t>67.7%</t>
        </is>
      </c>
      <c r="C23" s="48" t="inlineStr">
        <is>
          <t>Carta 36.1%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6" customHeight="1">
      <c r="A1" s="1" t="inlineStr">
        <is>
          <t>Cohort 留存矩阵 · 基准情景</t>
        </is>
      </c>
    </row>
    <row r="2">
      <c r="A2" s="2" t="inlineStr">
        <is>
          <t>行=获客月，列=队列年龄(M0–M12)，数值=存活 logo 占比。早期队列同时受合同结构与年约升级影响。</t>
        </is>
      </c>
    </row>
    <row r="4">
      <c r="A4" s="16" t="inlineStr">
        <is>
          <t>获客月</t>
        </is>
      </c>
      <c r="B4" s="16" t="inlineStr">
        <is>
          <t>M0</t>
        </is>
      </c>
      <c r="C4" s="16" t="inlineStr">
        <is>
          <t>M1</t>
        </is>
      </c>
      <c r="D4" s="16" t="inlineStr">
        <is>
          <t>M2</t>
        </is>
      </c>
      <c r="E4" s="16" t="inlineStr">
        <is>
          <t>M3</t>
        </is>
      </c>
      <c r="F4" s="16" t="inlineStr">
        <is>
          <t>M4</t>
        </is>
      </c>
      <c r="G4" s="16" t="inlineStr">
        <is>
          <t>M5</t>
        </is>
      </c>
      <c r="H4" s="16" t="inlineStr">
        <is>
          <t>M6</t>
        </is>
      </c>
      <c r="I4" s="16" t="inlineStr">
        <is>
          <t>M7</t>
        </is>
      </c>
      <c r="J4" s="16" t="inlineStr">
        <is>
          <t>M8</t>
        </is>
      </c>
      <c r="K4" s="16" t="inlineStr">
        <is>
          <t>M9</t>
        </is>
      </c>
      <c r="L4" s="16" t="inlineStr">
        <is>
          <t>M10</t>
        </is>
      </c>
      <c r="M4" s="16" t="inlineStr">
        <is>
          <t>M11</t>
        </is>
      </c>
      <c r="N4" s="16" t="inlineStr">
        <is>
          <t>M12</t>
        </is>
      </c>
    </row>
    <row r="5">
      <c r="A5" s="49" t="inlineStr">
        <is>
          <t>M1</t>
        </is>
      </c>
      <c r="B5" s="50" t="n">
        <v>100</v>
      </c>
      <c r="C5" s="50" t="n">
        <v>95.5</v>
      </c>
      <c r="D5" s="50" t="n">
        <v>91.40000000000001</v>
      </c>
      <c r="E5" s="50" t="n">
        <v>87.5</v>
      </c>
      <c r="F5" s="51" t="n">
        <v>83.8</v>
      </c>
      <c r="G5" s="51" t="n">
        <v>80.40000000000001</v>
      </c>
      <c r="H5" s="51" t="n">
        <v>77.2</v>
      </c>
      <c r="I5" s="51" t="n">
        <v>74.2</v>
      </c>
      <c r="J5" s="51" t="n">
        <v>71.3</v>
      </c>
      <c r="K5" s="51" t="n">
        <v>68.7</v>
      </c>
      <c r="L5" s="51" t="n">
        <v>66.2</v>
      </c>
      <c r="M5" s="52" t="n">
        <v>63.8</v>
      </c>
      <c r="N5" s="52" t="n">
        <v>61.6</v>
      </c>
    </row>
    <row r="6">
      <c r="A6" s="49" t="inlineStr">
        <is>
          <t>M2</t>
        </is>
      </c>
      <c r="B6" s="50" t="n">
        <v>100</v>
      </c>
      <c r="C6" s="50" t="n">
        <v>95.59999999999999</v>
      </c>
      <c r="D6" s="50" t="n">
        <v>91.40000000000001</v>
      </c>
      <c r="E6" s="50" t="n">
        <v>87.5</v>
      </c>
      <c r="F6" s="51" t="n">
        <v>83.90000000000001</v>
      </c>
      <c r="G6" s="51" t="n">
        <v>80.5</v>
      </c>
      <c r="H6" s="51" t="n">
        <v>77.3</v>
      </c>
      <c r="I6" s="51" t="n">
        <v>74.3</v>
      </c>
      <c r="J6" s="51" t="n">
        <v>71.5</v>
      </c>
      <c r="K6" s="51" t="n">
        <v>68.8</v>
      </c>
      <c r="L6" s="51" t="n">
        <v>66.3</v>
      </c>
      <c r="M6" s="52" t="n">
        <v>64</v>
      </c>
      <c r="N6" s="52" t="n">
        <v>61.7</v>
      </c>
    </row>
    <row r="7">
      <c r="A7" s="49" t="inlineStr">
        <is>
          <t>M3</t>
        </is>
      </c>
      <c r="B7" s="50" t="n">
        <v>100</v>
      </c>
      <c r="C7" s="50" t="n">
        <v>95.59999999999999</v>
      </c>
      <c r="D7" s="50" t="n">
        <v>91.5</v>
      </c>
      <c r="E7" s="50" t="n">
        <v>87.59999999999999</v>
      </c>
      <c r="F7" s="51" t="n">
        <v>84</v>
      </c>
      <c r="G7" s="51" t="n">
        <v>80.59999999999999</v>
      </c>
      <c r="H7" s="51" t="n">
        <v>77.40000000000001</v>
      </c>
      <c r="I7" s="51" t="n">
        <v>74.5</v>
      </c>
      <c r="J7" s="51" t="n">
        <v>71.59999999999999</v>
      </c>
      <c r="K7" s="51" t="n">
        <v>69</v>
      </c>
      <c r="L7" s="51" t="n">
        <v>66.5</v>
      </c>
      <c r="M7" s="52" t="n">
        <v>64.2</v>
      </c>
      <c r="N7" s="52" t="n">
        <v>61.9</v>
      </c>
    </row>
    <row r="8">
      <c r="A8" s="49" t="inlineStr">
        <is>
          <t>M4</t>
        </is>
      </c>
      <c r="B8" s="50" t="n">
        <v>100</v>
      </c>
      <c r="C8" s="50" t="n">
        <v>95.59999999999999</v>
      </c>
      <c r="D8" s="50" t="n">
        <v>91.5</v>
      </c>
      <c r="E8" s="50" t="n">
        <v>87.7</v>
      </c>
      <c r="F8" s="51" t="n">
        <v>84.09999999999999</v>
      </c>
      <c r="G8" s="51" t="n">
        <v>80.7</v>
      </c>
      <c r="H8" s="51" t="n">
        <v>77.59999999999999</v>
      </c>
      <c r="I8" s="51" t="n">
        <v>74.59999999999999</v>
      </c>
      <c r="J8" s="51" t="n">
        <v>71.8</v>
      </c>
      <c r="K8" s="51" t="n">
        <v>69.2</v>
      </c>
      <c r="L8" s="51" t="n">
        <v>66.7</v>
      </c>
      <c r="M8" s="52" t="n">
        <v>64.3</v>
      </c>
      <c r="N8" s="52" t="n">
        <v>62.1</v>
      </c>
    </row>
    <row r="9">
      <c r="A9" s="49" t="inlineStr">
        <is>
          <t>M5</t>
        </is>
      </c>
      <c r="B9" s="50" t="n">
        <v>100</v>
      </c>
      <c r="C9" s="50" t="n">
        <v>95.59999999999999</v>
      </c>
      <c r="D9" s="50" t="n">
        <v>91.59999999999999</v>
      </c>
      <c r="E9" s="50" t="n">
        <v>87.8</v>
      </c>
      <c r="F9" s="51" t="n">
        <v>84.2</v>
      </c>
      <c r="G9" s="51" t="n">
        <v>80.8</v>
      </c>
      <c r="H9" s="51" t="n">
        <v>77.7</v>
      </c>
      <c r="I9" s="51" t="n">
        <v>74.7</v>
      </c>
      <c r="J9" s="51" t="n">
        <v>72</v>
      </c>
      <c r="K9" s="51" t="n">
        <v>69.3</v>
      </c>
      <c r="L9" s="51" t="n">
        <v>66.90000000000001</v>
      </c>
      <c r="M9" s="52" t="n">
        <v>64.5</v>
      </c>
      <c r="N9" s="52" t="n">
        <v>62.3</v>
      </c>
    </row>
    <row r="10">
      <c r="A10" s="49" t="inlineStr">
        <is>
          <t>M6</t>
        </is>
      </c>
      <c r="B10" s="50" t="n">
        <v>100</v>
      </c>
      <c r="C10" s="50" t="n">
        <v>95.7</v>
      </c>
      <c r="D10" s="50" t="n">
        <v>91.59999999999999</v>
      </c>
      <c r="E10" s="50" t="n">
        <v>87.8</v>
      </c>
      <c r="F10" s="51" t="n">
        <v>84.3</v>
      </c>
      <c r="G10" s="51" t="n">
        <v>81</v>
      </c>
      <c r="H10" s="51" t="n">
        <v>77.8</v>
      </c>
      <c r="I10" s="51" t="n">
        <v>74.90000000000001</v>
      </c>
      <c r="J10" s="51" t="n">
        <v>72.09999999999999</v>
      </c>
      <c r="K10" s="51" t="n">
        <v>69.5</v>
      </c>
      <c r="L10" s="51" t="n">
        <v>67</v>
      </c>
      <c r="M10" s="52" t="n">
        <v>64.7</v>
      </c>
      <c r="N10" s="52" t="n">
        <v>62.5</v>
      </c>
    </row>
    <row r="11">
      <c r="A11" s="49" t="inlineStr">
        <is>
          <t>M7</t>
        </is>
      </c>
      <c r="B11" s="50" t="n">
        <v>100</v>
      </c>
      <c r="C11" s="50" t="n">
        <v>95.7</v>
      </c>
      <c r="D11" s="50" t="n">
        <v>91.7</v>
      </c>
      <c r="E11" s="50" t="n">
        <v>87.90000000000001</v>
      </c>
      <c r="F11" s="51" t="n">
        <v>84.40000000000001</v>
      </c>
      <c r="G11" s="51" t="n">
        <v>81.09999999999999</v>
      </c>
      <c r="H11" s="51" t="n">
        <v>78</v>
      </c>
      <c r="I11" s="51" t="n">
        <v>75</v>
      </c>
      <c r="J11" s="51" t="n">
        <v>72.3</v>
      </c>
      <c r="K11" s="51" t="n">
        <v>69.7</v>
      </c>
      <c r="L11" s="51" t="n">
        <v>67.2</v>
      </c>
      <c r="M11" s="52" t="n">
        <v>64.90000000000001</v>
      </c>
      <c r="N11" s="52" t="n">
        <v>62.7</v>
      </c>
    </row>
    <row r="12">
      <c r="A12" s="49" t="inlineStr">
        <is>
          <t>M8</t>
        </is>
      </c>
      <c r="B12" s="50" t="n">
        <v>100</v>
      </c>
      <c r="C12" s="50" t="n">
        <v>95.7</v>
      </c>
      <c r="D12" s="50" t="n">
        <v>91.7</v>
      </c>
      <c r="E12" s="50" t="n">
        <v>88</v>
      </c>
      <c r="F12" s="51" t="n">
        <v>84.5</v>
      </c>
      <c r="G12" s="51" t="n">
        <v>81.2</v>
      </c>
      <c r="H12" s="51" t="n">
        <v>78.09999999999999</v>
      </c>
      <c r="I12" s="51" t="n">
        <v>75.2</v>
      </c>
      <c r="J12" s="51" t="n">
        <v>72.40000000000001</v>
      </c>
      <c r="K12" s="51" t="n">
        <v>69.8</v>
      </c>
      <c r="L12" s="51" t="n">
        <v>67.40000000000001</v>
      </c>
      <c r="M12" s="51" t="n">
        <v>65.09999999999999</v>
      </c>
      <c r="N12" s="52" t="n">
        <v>62.9</v>
      </c>
    </row>
    <row r="13">
      <c r="A13" s="49" t="inlineStr">
        <is>
          <t>M9</t>
        </is>
      </c>
      <c r="B13" s="50" t="n">
        <v>100</v>
      </c>
      <c r="C13" s="50" t="n">
        <v>95.8</v>
      </c>
      <c r="D13" s="50" t="n">
        <v>91.8</v>
      </c>
      <c r="E13" s="50" t="n">
        <v>88.09999999999999</v>
      </c>
      <c r="F13" s="51" t="n">
        <v>84.59999999999999</v>
      </c>
      <c r="G13" s="51" t="n">
        <v>81.3</v>
      </c>
      <c r="H13" s="51" t="n">
        <v>78.2</v>
      </c>
      <c r="I13" s="51" t="n">
        <v>75.3</v>
      </c>
      <c r="J13" s="51" t="n">
        <v>72.59999999999999</v>
      </c>
      <c r="K13" s="51" t="n">
        <v>70</v>
      </c>
      <c r="L13" s="51" t="n">
        <v>67.59999999999999</v>
      </c>
      <c r="M13" s="51" t="n">
        <v>65.3</v>
      </c>
      <c r="N13" s="52" t="n">
        <v>63.1</v>
      </c>
    </row>
    <row r="14">
      <c r="A14" s="49" t="inlineStr">
        <is>
          <t>M10</t>
        </is>
      </c>
      <c r="B14" s="50" t="n">
        <v>100</v>
      </c>
      <c r="C14" s="50" t="n">
        <v>95.8</v>
      </c>
      <c r="D14" s="50" t="n">
        <v>91.8</v>
      </c>
      <c r="E14" s="50" t="n">
        <v>88.09999999999999</v>
      </c>
      <c r="F14" s="51" t="n">
        <v>84.7</v>
      </c>
      <c r="G14" s="51" t="n">
        <v>81.40000000000001</v>
      </c>
      <c r="H14" s="51" t="n">
        <v>78.3</v>
      </c>
      <c r="I14" s="51" t="n">
        <v>75.5</v>
      </c>
      <c r="J14" s="51" t="n">
        <v>72.7</v>
      </c>
      <c r="K14" s="51" t="n">
        <v>70.2</v>
      </c>
      <c r="L14" s="51" t="n">
        <v>67.7</v>
      </c>
      <c r="M14" s="51" t="n">
        <v>65.40000000000001</v>
      </c>
      <c r="N14" s="52" t="n">
        <v>63.3</v>
      </c>
    </row>
    <row r="15">
      <c r="A15" s="49" t="inlineStr">
        <is>
          <t>M11</t>
        </is>
      </c>
      <c r="B15" s="50" t="n">
        <v>100</v>
      </c>
      <c r="C15" s="50" t="n">
        <v>95.8</v>
      </c>
      <c r="D15" s="50" t="n">
        <v>91.90000000000001</v>
      </c>
      <c r="E15" s="50" t="n">
        <v>88.2</v>
      </c>
      <c r="F15" s="51" t="n">
        <v>84.8</v>
      </c>
      <c r="G15" s="51" t="n">
        <v>81.5</v>
      </c>
      <c r="H15" s="51" t="n">
        <v>78.5</v>
      </c>
      <c r="I15" s="51" t="n">
        <v>75.59999999999999</v>
      </c>
      <c r="J15" s="51" t="n">
        <v>72.90000000000001</v>
      </c>
      <c r="K15" s="51" t="n">
        <v>70.3</v>
      </c>
      <c r="L15" s="51" t="n">
        <v>67.90000000000001</v>
      </c>
      <c r="M15" s="51" t="n">
        <v>65.59999999999999</v>
      </c>
      <c r="N15" s="52" t="n">
        <v>63.4</v>
      </c>
    </row>
    <row r="16">
      <c r="A16" s="49" t="inlineStr">
        <is>
          <t>M12</t>
        </is>
      </c>
      <c r="B16" s="50" t="n">
        <v>100</v>
      </c>
      <c r="C16" s="50" t="n">
        <v>95.8</v>
      </c>
      <c r="D16" s="50" t="n">
        <v>91.90000000000001</v>
      </c>
      <c r="E16" s="50" t="n">
        <v>88.3</v>
      </c>
      <c r="F16" s="51" t="n">
        <v>84.90000000000001</v>
      </c>
      <c r="G16" s="51" t="n">
        <v>81.59999999999999</v>
      </c>
      <c r="H16" s="51" t="n">
        <v>78.59999999999999</v>
      </c>
      <c r="I16" s="51" t="n">
        <v>75.7</v>
      </c>
      <c r="J16" s="51" t="n">
        <v>73</v>
      </c>
      <c r="K16" s="51" t="n">
        <v>70.5</v>
      </c>
      <c r="L16" s="51" t="n">
        <v>68.09999999999999</v>
      </c>
      <c r="M16" s="51" t="n">
        <v>65.8</v>
      </c>
      <c r="N16" s="52" t="n">
        <v>63.6</v>
      </c>
    </row>
    <row r="17">
      <c r="A17" s="49" t="inlineStr">
        <is>
          <t>M13</t>
        </is>
      </c>
      <c r="B17" s="50" t="n">
        <v>100</v>
      </c>
      <c r="C17" s="50" t="n">
        <v>95.90000000000001</v>
      </c>
      <c r="D17" s="50" t="n">
        <v>92</v>
      </c>
      <c r="E17" s="50" t="n">
        <v>88.40000000000001</v>
      </c>
      <c r="F17" s="50" t="n">
        <v>85</v>
      </c>
      <c r="G17" s="51" t="n">
        <v>81.7</v>
      </c>
      <c r="H17" s="51" t="n">
        <v>78.7</v>
      </c>
      <c r="I17" s="51" t="n">
        <v>75.90000000000001</v>
      </c>
      <c r="J17" s="51" t="n">
        <v>73.2</v>
      </c>
      <c r="K17" s="51" t="n">
        <v>70.7</v>
      </c>
      <c r="L17" s="51" t="n">
        <v>68.3</v>
      </c>
      <c r="M17" s="51" t="n">
        <v>66</v>
      </c>
      <c r="N17" s="52" t="n">
        <v>63.8</v>
      </c>
    </row>
    <row r="18">
      <c r="A18" s="49" t="inlineStr">
        <is>
          <t>M14</t>
        </is>
      </c>
      <c r="B18" s="50" t="n">
        <v>100</v>
      </c>
      <c r="C18" s="50" t="n">
        <v>95.90000000000001</v>
      </c>
      <c r="D18" s="50" t="n">
        <v>92.09999999999999</v>
      </c>
      <c r="E18" s="50" t="n">
        <v>88.40000000000001</v>
      </c>
      <c r="F18" s="50" t="n">
        <v>85.09999999999999</v>
      </c>
      <c r="G18" s="51" t="n">
        <v>81.90000000000001</v>
      </c>
      <c r="H18" s="51" t="n">
        <v>78.90000000000001</v>
      </c>
      <c r="I18" s="51" t="n">
        <v>76</v>
      </c>
      <c r="J18" s="51" t="n">
        <v>73.3</v>
      </c>
      <c r="K18" s="51" t="n">
        <v>70.8</v>
      </c>
      <c r="L18" s="51" t="n">
        <v>68.40000000000001</v>
      </c>
      <c r="M18" s="51" t="n">
        <v>66.2</v>
      </c>
      <c r="N18" s="52" t="n">
        <v>64</v>
      </c>
    </row>
    <row r="19">
      <c r="A19" s="49" t="inlineStr">
        <is>
          <t>M15</t>
        </is>
      </c>
      <c r="B19" s="50" t="n">
        <v>100</v>
      </c>
      <c r="C19" s="50" t="n">
        <v>95.90000000000001</v>
      </c>
      <c r="D19" s="50" t="n">
        <v>92.09999999999999</v>
      </c>
      <c r="E19" s="50" t="n">
        <v>88.5</v>
      </c>
      <c r="F19" s="50" t="n">
        <v>85.09999999999999</v>
      </c>
      <c r="G19" s="51" t="n">
        <v>82</v>
      </c>
      <c r="H19" s="51" t="n">
        <v>79</v>
      </c>
      <c r="I19" s="51" t="n">
        <v>76.2</v>
      </c>
      <c r="J19" s="51" t="n">
        <v>73.5</v>
      </c>
      <c r="K19" s="51" t="n">
        <v>71</v>
      </c>
      <c r="L19" s="51" t="n">
        <v>68.59999999999999</v>
      </c>
      <c r="M19" s="51" t="n">
        <v>66.3</v>
      </c>
      <c r="N19" s="52" t="n">
        <v>64.2</v>
      </c>
    </row>
    <row r="20">
      <c r="A20" s="49" t="inlineStr">
        <is>
          <t>M16</t>
        </is>
      </c>
      <c r="B20" s="50" t="n">
        <v>100</v>
      </c>
      <c r="C20" s="50" t="n">
        <v>96</v>
      </c>
      <c r="D20" s="50" t="n">
        <v>92.2</v>
      </c>
      <c r="E20" s="50" t="n">
        <v>88.59999999999999</v>
      </c>
      <c r="F20" s="50" t="n">
        <v>85.2</v>
      </c>
      <c r="G20" s="51" t="n">
        <v>82.09999999999999</v>
      </c>
      <c r="H20" s="51" t="n">
        <v>79.09999999999999</v>
      </c>
      <c r="I20" s="51" t="n">
        <v>76.3</v>
      </c>
      <c r="J20" s="51" t="n">
        <v>73.7</v>
      </c>
      <c r="K20" s="51" t="n">
        <v>71.09999999999999</v>
      </c>
      <c r="L20" s="51" t="n">
        <v>68.8</v>
      </c>
      <c r="M20" s="51" t="n">
        <v>66.5</v>
      </c>
      <c r="N20" s="52" t="n">
        <v>64.40000000000001</v>
      </c>
    </row>
    <row r="21">
      <c r="A21" s="49" t="inlineStr">
        <is>
          <t>M17</t>
        </is>
      </c>
      <c r="B21" s="50" t="n">
        <v>100</v>
      </c>
      <c r="C21" s="50" t="n">
        <v>96</v>
      </c>
      <c r="D21" s="50" t="n">
        <v>92.2</v>
      </c>
      <c r="E21" s="50" t="n">
        <v>88.7</v>
      </c>
      <c r="F21" s="50" t="n">
        <v>85.3</v>
      </c>
      <c r="G21" s="51" t="n">
        <v>82.2</v>
      </c>
      <c r="H21" s="51" t="n">
        <v>79.2</v>
      </c>
      <c r="I21" s="51" t="n">
        <v>76.40000000000001</v>
      </c>
      <c r="J21" s="51" t="n">
        <v>73.8</v>
      </c>
      <c r="K21" s="51" t="n">
        <v>71.3</v>
      </c>
      <c r="L21" s="51" t="n">
        <v>69</v>
      </c>
      <c r="M21" s="51" t="n">
        <v>66.7</v>
      </c>
      <c r="N21" s="52" t="n">
        <v>64.59999999999999</v>
      </c>
    </row>
    <row r="22">
      <c r="A22" s="49" t="inlineStr">
        <is>
          <t>M18</t>
        </is>
      </c>
      <c r="B22" s="50" t="n">
        <v>100</v>
      </c>
      <c r="C22" s="50" t="n">
        <v>96</v>
      </c>
      <c r="D22" s="50" t="n">
        <v>92.3</v>
      </c>
      <c r="E22" s="50" t="n">
        <v>88.7</v>
      </c>
      <c r="F22" s="50" t="n">
        <v>85.40000000000001</v>
      </c>
      <c r="G22" s="51" t="n">
        <v>82.3</v>
      </c>
      <c r="H22" s="51" t="n">
        <v>79.40000000000001</v>
      </c>
      <c r="I22" s="51" t="n">
        <v>76.59999999999999</v>
      </c>
      <c r="J22" s="51" t="n">
        <v>74</v>
      </c>
      <c r="K22" s="51" t="n">
        <v>71.5</v>
      </c>
      <c r="L22" s="51" t="n">
        <v>69.09999999999999</v>
      </c>
      <c r="M22" s="51" t="n">
        <v>66.90000000000001</v>
      </c>
      <c r="N22" s="52" t="n">
        <v>64.8</v>
      </c>
    </row>
    <row r="23">
      <c r="A23" s="49" t="inlineStr">
        <is>
          <t>M19</t>
        </is>
      </c>
      <c r="B23" s="50" t="n">
        <v>100</v>
      </c>
      <c r="C23" s="50" t="n">
        <v>96</v>
      </c>
      <c r="D23" s="50" t="n">
        <v>92.3</v>
      </c>
      <c r="E23" s="50" t="n">
        <v>88.8</v>
      </c>
      <c r="F23" s="50" t="n">
        <v>85.5</v>
      </c>
      <c r="G23" s="51" t="n">
        <v>82.40000000000001</v>
      </c>
      <c r="H23" s="51" t="n">
        <v>79.5</v>
      </c>
      <c r="I23" s="51" t="n">
        <v>76.7</v>
      </c>
      <c r="J23" s="51" t="n">
        <v>74.09999999999999</v>
      </c>
      <c r="K23" s="51" t="n">
        <v>71.59999999999999</v>
      </c>
      <c r="L23" s="51" t="n">
        <v>69.3</v>
      </c>
      <c r="M23" s="51" t="n">
        <v>67.09999999999999</v>
      </c>
      <c r="N23" s="51" t="n">
        <v>65</v>
      </c>
    </row>
    <row r="24">
      <c r="A24" s="49" t="inlineStr">
        <is>
          <t>M20</t>
        </is>
      </c>
      <c r="B24" s="50" t="n">
        <v>100</v>
      </c>
      <c r="C24" s="50" t="n">
        <v>96.09999999999999</v>
      </c>
      <c r="D24" s="50" t="n">
        <v>92.40000000000001</v>
      </c>
      <c r="E24" s="50" t="n">
        <v>88.90000000000001</v>
      </c>
      <c r="F24" s="50" t="n">
        <v>85.59999999999999</v>
      </c>
      <c r="G24" s="51" t="n">
        <v>82.5</v>
      </c>
      <c r="H24" s="51" t="n">
        <v>79.59999999999999</v>
      </c>
      <c r="I24" s="51" t="n">
        <v>76.90000000000001</v>
      </c>
      <c r="J24" s="51" t="n">
        <v>74.3</v>
      </c>
      <c r="K24" s="51" t="n">
        <v>71.8</v>
      </c>
      <c r="L24" s="51" t="n">
        <v>69.5</v>
      </c>
      <c r="M24" s="51" t="n">
        <v>67.3</v>
      </c>
      <c r="N24" s="51" t="n">
        <v>65.2</v>
      </c>
    </row>
    <row r="25">
      <c r="A25" s="49" t="inlineStr">
        <is>
          <t>M21</t>
        </is>
      </c>
      <c r="B25" s="50" t="n">
        <v>100</v>
      </c>
      <c r="C25" s="50" t="n">
        <v>96.09999999999999</v>
      </c>
      <c r="D25" s="50" t="n">
        <v>92.40000000000001</v>
      </c>
      <c r="E25" s="50" t="n">
        <v>89</v>
      </c>
      <c r="F25" s="50" t="n">
        <v>85.7</v>
      </c>
      <c r="G25" s="51" t="n">
        <v>82.7</v>
      </c>
      <c r="H25" s="51" t="n">
        <v>79.8</v>
      </c>
      <c r="I25" s="51" t="n">
        <v>77</v>
      </c>
      <c r="J25" s="51" t="n">
        <v>74.40000000000001</v>
      </c>
      <c r="K25" s="51" t="n">
        <v>72</v>
      </c>
      <c r="L25" s="51" t="n">
        <v>69.7</v>
      </c>
      <c r="M25" s="51" t="n">
        <v>67.40000000000001</v>
      </c>
      <c r="N25" s="51" t="n">
        <v>65.3</v>
      </c>
    </row>
    <row r="26">
      <c r="A26" s="49" t="inlineStr">
        <is>
          <t>M22</t>
        </is>
      </c>
      <c r="B26" s="50" t="n">
        <v>100</v>
      </c>
      <c r="C26" s="50" t="n">
        <v>96.09999999999999</v>
      </c>
      <c r="D26" s="50" t="n">
        <v>92.5</v>
      </c>
      <c r="E26" s="50" t="n">
        <v>89</v>
      </c>
      <c r="F26" s="50" t="n">
        <v>85.8</v>
      </c>
      <c r="G26" s="51" t="n">
        <v>82.8</v>
      </c>
      <c r="H26" s="51" t="n">
        <v>79.90000000000001</v>
      </c>
      <c r="I26" s="51" t="n">
        <v>77.2</v>
      </c>
      <c r="J26" s="51" t="n">
        <v>74.59999999999999</v>
      </c>
      <c r="K26" s="51" t="n">
        <v>72.09999999999999</v>
      </c>
      <c r="L26" s="51" t="n">
        <v>69.8</v>
      </c>
      <c r="M26" s="51" t="n">
        <v>67.59999999999999</v>
      </c>
      <c r="N26" s="51" t="n">
        <v>65.5</v>
      </c>
    </row>
    <row r="27">
      <c r="A27" s="49" t="inlineStr">
        <is>
          <t>M23</t>
        </is>
      </c>
      <c r="B27" s="50" t="n">
        <v>100</v>
      </c>
      <c r="C27" s="50" t="n">
        <v>96.2</v>
      </c>
      <c r="D27" s="50" t="n">
        <v>92.5</v>
      </c>
      <c r="E27" s="50" t="n">
        <v>89.09999999999999</v>
      </c>
      <c r="F27" s="50" t="n">
        <v>85.90000000000001</v>
      </c>
      <c r="G27" s="51" t="n">
        <v>82.90000000000001</v>
      </c>
      <c r="H27" s="51" t="n">
        <v>80</v>
      </c>
      <c r="I27" s="51" t="n">
        <v>77.3</v>
      </c>
      <c r="J27" s="51" t="n">
        <v>74.7</v>
      </c>
      <c r="K27" s="51" t="n">
        <v>72.3</v>
      </c>
      <c r="L27" s="51" t="n">
        <v>70</v>
      </c>
      <c r="M27" s="51" t="n">
        <v>67.8</v>
      </c>
      <c r="N27" s="51" t="n">
        <v>65.7</v>
      </c>
    </row>
    <row r="28">
      <c r="A28" s="49" t="inlineStr">
        <is>
          <t>M24</t>
        </is>
      </c>
      <c r="B28" s="50" t="n">
        <v>100</v>
      </c>
      <c r="C28" s="50" t="n">
        <v>96.2</v>
      </c>
      <c r="D28" s="50" t="n">
        <v>92.59999999999999</v>
      </c>
      <c r="E28" s="50" t="n">
        <v>89.2</v>
      </c>
      <c r="F28" s="50" t="n">
        <v>86</v>
      </c>
      <c r="G28" s="51" t="n">
        <v>83</v>
      </c>
      <c r="H28" s="51" t="n">
        <v>80.09999999999999</v>
      </c>
      <c r="I28" s="51" t="n">
        <v>77.40000000000001</v>
      </c>
      <c r="J28" s="51" t="n">
        <v>74.90000000000001</v>
      </c>
      <c r="K28" s="51" t="n">
        <v>72.5</v>
      </c>
      <c r="L28" s="51" t="n">
        <v>70.2</v>
      </c>
      <c r="M28" s="51" t="n">
        <v>68</v>
      </c>
      <c r="N28" s="51" t="n">
        <v>65.90000000000001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46" customWidth="1" min="6" max="6"/>
  </cols>
  <sheetData>
    <row r="1" ht="26" customHeight="1">
      <c r="A1" s="1" t="inlineStr">
        <is>
          <t>Y3 收入 → EBITDA 瀑布桥 · 三情景</t>
        </is>
      </c>
    </row>
    <row r="2">
      <c r="A2" s="2" t="inlineStr">
        <is>
          <t>每一段扣减都对应成本表的一个科目。基准情景 Y3 收入约 $3.35M。</t>
        </is>
      </c>
    </row>
    <row r="4">
      <c r="A4" s="45" t="inlineStr">
        <is>
          <t>基准 情景</t>
        </is>
      </c>
    </row>
    <row r="5">
      <c r="A5" s="16" t="inlineStr">
        <is>
          <t>科目</t>
        </is>
      </c>
      <c r="B5" s="16" t="inlineStr">
        <is>
          <t>金额(US$)</t>
        </is>
      </c>
      <c r="C5" s="16" t="inlineStr">
        <is>
          <t>占收入</t>
        </is>
      </c>
      <c r="D5" s="16" t="inlineStr">
        <is>
          <t>累计</t>
        </is>
      </c>
      <c r="E5" s="16" t="inlineStr"/>
      <c r="F5" s="16" t="inlineStr">
        <is>
          <t>说明</t>
        </is>
      </c>
    </row>
    <row r="6">
      <c r="A6" s="47" t="inlineStr">
        <is>
          <t>收入</t>
        </is>
      </c>
      <c r="B6" s="38" t="n">
        <v>3353565.503784535</v>
      </c>
      <c r="C6" s="20" t="n">
        <v>1</v>
      </c>
      <c r="D6" s="19" t="n">
        <v>3353565.503784535</v>
      </c>
      <c r="F6" s="5" t="inlineStr">
        <is>
          <t>收入</t>
        </is>
      </c>
    </row>
    <row r="7">
      <c r="A7" s="47" t="inlineStr">
        <is>
          <t>服务器+支付+支持</t>
        </is>
      </c>
      <c r="B7" s="53" t="n">
        <v>-557863.1709965975</v>
      </c>
      <c r="C7" s="20" t="n">
        <v>-0.1663492692679009</v>
      </c>
      <c r="D7" s="19" t="n">
        <v>2795702.332787937</v>
      </c>
      <c r="F7" s="5" t="inlineStr"/>
    </row>
    <row r="8">
      <c r="A8" s="47" t="inlineStr">
        <is>
          <t>毛利</t>
        </is>
      </c>
      <c r="B8" s="38" t="n">
        <v>2795702.332787937</v>
      </c>
      <c r="C8" s="20" t="n">
        <v>0.8336507307320991</v>
      </c>
      <c r="D8" s="19" t="n">
        <v>2795702.332787937</v>
      </c>
      <c r="F8" s="5" t="inlineStr">
        <is>
          <t>毛利</t>
        </is>
      </c>
    </row>
    <row r="9">
      <c r="A9" s="47" t="inlineStr">
        <is>
          <t>研发+产品</t>
        </is>
      </c>
      <c r="B9" s="53" t="n">
        <v>-1548833.333333333</v>
      </c>
      <c r="C9" s="20" t="n">
        <v>-0.4618467513413584</v>
      </c>
      <c r="D9" s="19" t="n">
        <v>1246868.999454604</v>
      </c>
      <c r="F9" s="5" t="inlineStr"/>
    </row>
    <row r="10">
      <c r="A10" s="47" t="inlineStr">
        <is>
          <t>销售与市场</t>
        </is>
      </c>
      <c r="B10" s="53" t="n">
        <v>-1642166.666666667</v>
      </c>
      <c r="C10" s="20" t="n">
        <v>-0.4896778264248794</v>
      </c>
      <c r="D10" s="19" t="n">
        <v>-395297.6672120627</v>
      </c>
      <c r="F10" s="5" t="inlineStr"/>
    </row>
    <row r="11">
      <c r="A11" s="47" t="inlineStr">
        <is>
          <t>管理行政</t>
        </is>
      </c>
      <c r="B11" s="53" t="n">
        <v>-396000</v>
      </c>
      <c r="C11" s="20" t="n">
        <v>-0.1180832757115105</v>
      </c>
      <c r="D11" s="19" t="n">
        <v>-791297.6672120627</v>
      </c>
      <c r="F11" s="5" t="inlineStr"/>
    </row>
    <row r="12">
      <c r="A12" s="47" t="inlineStr">
        <is>
          <t>EBITDA</t>
        </is>
      </c>
      <c r="B12" s="38" t="n">
        <v>-791297.6672120627</v>
      </c>
      <c r="C12" s="20" t="n">
        <v>-0.2359571227456493</v>
      </c>
      <c r="D12" s="19" t="n">
        <v>-791297.6672120627</v>
      </c>
      <c r="F12" s="5" t="inlineStr">
        <is>
          <t>EBITDA</t>
        </is>
      </c>
    </row>
    <row r="13">
      <c r="A13" s="3" t="inlineStr">
        <is>
          <t>毛利率</t>
        </is>
      </c>
      <c r="B13" s="54" t="n">
        <v>0.8336507307320991</v>
      </c>
      <c r="F13" s="5" t="inlineStr">
        <is>
          <t>毛利 / 收入</t>
        </is>
      </c>
    </row>
    <row r="16">
      <c r="A16" s="45" t="inlineStr">
        <is>
          <t>乐观 情景</t>
        </is>
      </c>
    </row>
    <row r="17">
      <c r="A17" s="16" t="inlineStr">
        <is>
          <t>科目</t>
        </is>
      </c>
      <c r="B17" s="16" t="inlineStr">
        <is>
          <t>金额(US$)</t>
        </is>
      </c>
      <c r="C17" s="16" t="inlineStr">
        <is>
          <t>占收入</t>
        </is>
      </c>
      <c r="D17" s="16" t="inlineStr">
        <is>
          <t>累计</t>
        </is>
      </c>
      <c r="E17" s="16" t="inlineStr"/>
      <c r="F17" s="16" t="inlineStr">
        <is>
          <t>说明</t>
        </is>
      </c>
    </row>
    <row r="18">
      <c r="A18" s="47" t="inlineStr">
        <is>
          <t>收入</t>
        </is>
      </c>
      <c r="B18" s="38" t="n">
        <v>6232315.713002604</v>
      </c>
      <c r="C18" s="20" t="n">
        <v>1</v>
      </c>
      <c r="D18" s="19" t="n">
        <v>6232315.713002604</v>
      </c>
      <c r="F18" s="5" t="inlineStr">
        <is>
          <t>收入</t>
        </is>
      </c>
    </row>
    <row r="19">
      <c r="A19" s="47" t="inlineStr">
        <is>
          <t>服务器+支付+支持</t>
        </is>
      </c>
      <c r="B19" s="53" t="n">
        <v>-677191.0161758357</v>
      </c>
      <c r="C19" s="20" t="n">
        <v>-0.1086580088943502</v>
      </c>
      <c r="D19" s="19" t="n">
        <v>5555124.696826769</v>
      </c>
      <c r="F19" s="5" t="inlineStr"/>
    </row>
    <row r="20">
      <c r="A20" s="47" t="inlineStr">
        <is>
          <t>毛利</t>
        </is>
      </c>
      <c r="B20" s="38" t="n">
        <v>5555124.696826769</v>
      </c>
      <c r="C20" s="20" t="n">
        <v>0.8913419911056498</v>
      </c>
      <c r="D20" s="19" t="n">
        <v>5555124.696826769</v>
      </c>
      <c r="F20" s="5" t="inlineStr">
        <is>
          <t>毛利</t>
        </is>
      </c>
    </row>
    <row r="21">
      <c r="A21" s="47" t="inlineStr">
        <is>
          <t>研发+产品</t>
        </is>
      </c>
      <c r="B21" s="53" t="n">
        <v>-1548833.333333333</v>
      </c>
      <c r="C21" s="20" t="n">
        <v>-0.2485165072914987</v>
      </c>
      <c r="D21" s="19" t="n">
        <v>4006291.363493436</v>
      </c>
      <c r="F21" s="5" t="inlineStr"/>
    </row>
    <row r="22">
      <c r="A22" s="47" t="inlineStr">
        <is>
          <t>销售与市场</t>
        </is>
      </c>
      <c r="B22" s="53" t="n">
        <v>-1695246.666666667</v>
      </c>
      <c r="C22" s="20" t="n">
        <v>-0.2720091126208257</v>
      </c>
      <c r="D22" s="19" t="n">
        <v>2311044.696826769</v>
      </c>
      <c r="F22" s="5" t="inlineStr"/>
    </row>
    <row r="23">
      <c r="A23" s="47" t="inlineStr">
        <is>
          <t>管理行政</t>
        </is>
      </c>
      <c r="B23" s="53" t="n">
        <v>-396000</v>
      </c>
      <c r="C23" s="20" t="n">
        <v>-0.06353978492678368</v>
      </c>
      <c r="D23" s="19" t="n">
        <v>1915044.696826769</v>
      </c>
      <c r="F23" s="5" t="inlineStr"/>
    </row>
    <row r="24">
      <c r="A24" s="47" t="inlineStr">
        <is>
          <t>EBITDA</t>
        </is>
      </c>
      <c r="B24" s="38" t="n">
        <v>1915044.696826769</v>
      </c>
      <c r="C24" s="20" t="n">
        <v>0.3072765862665419</v>
      </c>
      <c r="D24" s="19" t="n">
        <v>1915044.696826769</v>
      </c>
      <c r="F24" s="5" t="inlineStr">
        <is>
          <t>EBITDA</t>
        </is>
      </c>
    </row>
    <row r="25">
      <c r="A25" s="3" t="inlineStr">
        <is>
          <t>毛利率</t>
        </is>
      </c>
      <c r="B25" s="54" t="n">
        <v>0.8913419911056498</v>
      </c>
      <c r="F25" s="5" t="inlineStr">
        <is>
          <t>毛利 / 收入</t>
        </is>
      </c>
    </row>
    <row r="28">
      <c r="A28" s="45" t="inlineStr">
        <is>
          <t>悲观 情景</t>
        </is>
      </c>
    </row>
    <row r="29">
      <c r="A29" s="16" t="inlineStr">
        <is>
          <t>科目</t>
        </is>
      </c>
      <c r="B29" s="16" t="inlineStr">
        <is>
          <t>金额(US$)</t>
        </is>
      </c>
      <c r="C29" s="16" t="inlineStr">
        <is>
          <t>占收入</t>
        </is>
      </c>
      <c r="D29" s="16" t="inlineStr">
        <is>
          <t>累计</t>
        </is>
      </c>
      <c r="E29" s="16" t="inlineStr"/>
      <c r="F29" s="16" t="inlineStr">
        <is>
          <t>说明</t>
        </is>
      </c>
    </row>
    <row r="30">
      <c r="A30" s="47" t="inlineStr">
        <is>
          <t>收入</t>
        </is>
      </c>
      <c r="B30" s="38" t="n">
        <v>925170.2101290964</v>
      </c>
      <c r="C30" s="20" t="n">
        <v>1</v>
      </c>
      <c r="D30" s="19" t="n">
        <v>925170.2101290964</v>
      </c>
      <c r="F30" s="5" t="inlineStr">
        <is>
          <t>收入</t>
        </is>
      </c>
    </row>
    <row r="31">
      <c r="A31" s="47" t="inlineStr">
        <is>
          <t>服务器+支付+支持</t>
        </is>
      </c>
      <c r="B31" s="53" t="n">
        <v>-375963.1883403526</v>
      </c>
      <c r="C31" s="20" t="n">
        <v>-0.4063719132157222</v>
      </c>
      <c r="D31" s="19" t="n">
        <v>549207.0217887438</v>
      </c>
      <c r="F31" s="5" t="inlineStr"/>
    </row>
    <row r="32">
      <c r="A32" s="47" t="inlineStr">
        <is>
          <t>毛利</t>
        </is>
      </c>
      <c r="B32" s="38" t="n">
        <v>549207.0217887438</v>
      </c>
      <c r="C32" s="20" t="n">
        <v>0.5936280867842778</v>
      </c>
      <c r="D32" s="19" t="n">
        <v>549207.0217887438</v>
      </c>
      <c r="F32" s="5" t="inlineStr">
        <is>
          <t>毛利</t>
        </is>
      </c>
    </row>
    <row r="33">
      <c r="A33" s="47" t="inlineStr">
        <is>
          <t>研发+产品</t>
        </is>
      </c>
      <c r="B33" s="53" t="n">
        <v>-1778833.333333333</v>
      </c>
      <c r="C33" s="20" t="n">
        <v>-1.922709263504192</v>
      </c>
      <c r="D33" s="19" t="n">
        <v>-1229626.31154459</v>
      </c>
      <c r="F33" s="5" t="inlineStr"/>
    </row>
    <row r="34">
      <c r="A34" s="47" t="inlineStr">
        <is>
          <t>销售与市场</t>
        </is>
      </c>
      <c r="B34" s="53" t="n">
        <v>-1992683.333333333</v>
      </c>
      <c r="C34" s="20" t="n">
        <v>-2.153855919177595</v>
      </c>
      <c r="D34" s="19" t="n">
        <v>-3222309.644877923</v>
      </c>
      <c r="F34" s="5" t="inlineStr"/>
    </row>
    <row r="35">
      <c r="A35" s="47" t="inlineStr">
        <is>
          <t>管理行政</t>
        </is>
      </c>
      <c r="B35" s="53" t="n">
        <v>-514000</v>
      </c>
      <c r="C35" s="20" t="n">
        <v>-0.5555734440782281</v>
      </c>
      <c r="D35" s="19" t="n">
        <v>-3736309.644877923</v>
      </c>
      <c r="F35" s="5" t="inlineStr"/>
    </row>
    <row r="36">
      <c r="A36" s="47" t="inlineStr">
        <is>
          <t>EBITDA</t>
        </is>
      </c>
      <c r="B36" s="38" t="n">
        <v>-3736309.644877923</v>
      </c>
      <c r="C36" s="20" t="n">
        <v>-4.038510539975737</v>
      </c>
      <c r="D36" s="19" t="n">
        <v>-3736309.644877923</v>
      </c>
      <c r="F36" s="5" t="inlineStr">
        <is>
          <t>EBITDA</t>
        </is>
      </c>
    </row>
    <row r="37">
      <c r="A37" s="3" t="inlineStr">
        <is>
          <t>毛利率</t>
        </is>
      </c>
      <c r="B37" s="54" t="n">
        <v>0.5936280867842778</v>
      </c>
      <c r="F37" s="5" t="inlineStr">
        <is>
          <t>毛利 / 收入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0" customWidth="1" min="4" max="4"/>
    <col width="16" customWidth="1" min="5" max="5"/>
    <col width="22" customWidth="1" min="6" max="6"/>
  </cols>
  <sheetData>
    <row r="1" ht="26" customHeight="1">
      <c r="A1" s="1" t="inlineStr">
        <is>
          <t>90 天行动清单 · 从模型到动作</t>
        </is>
      </c>
    </row>
    <row r="2">
      <c r="A2" s="2" t="inlineStr">
        <is>
          <t>每条对应模型里的一个敏感参数。P0=立刻做，P1=本季度，P2=持续。</t>
        </is>
      </c>
    </row>
    <row r="4">
      <c r="A4" s="16" t="inlineStr">
        <is>
          <t>优先级</t>
        </is>
      </c>
      <c r="B4" s="16" t="inlineStr">
        <is>
          <t>时间窗</t>
        </is>
      </c>
      <c r="C4" s="16" t="inlineStr">
        <is>
          <t>任务</t>
        </is>
      </c>
      <c r="D4" s="16" t="inlineStr">
        <is>
          <t>说明</t>
        </is>
      </c>
      <c r="E4" s="16" t="inlineStr">
        <is>
          <t>负责人</t>
        </is>
      </c>
      <c r="F4" s="16" t="inlineStr">
        <is>
          <t>验收标准</t>
        </is>
      </c>
    </row>
    <row r="5" ht="44" customHeight="1">
      <c r="A5" s="55" t="inlineStr">
        <is>
          <t>P0</t>
        </is>
      </c>
      <c r="B5" s="7" t="inlineStr">
        <is>
          <t>第 1–2 周</t>
        </is>
      </c>
      <c r="C5" s="56" t="inlineStr">
        <is>
          <t>把 PLG 注册→付费转化拆成漏斗看板</t>
        </is>
      </c>
      <c r="D5" s="56" t="inlineStr">
        <is>
          <t>按注册周分群追踪，锁定 3.2%→4.0% 的爬坡路径。当前模型最脆弱的假设之一。</t>
        </is>
      </c>
      <c r="E5" s="7" t="inlineStr">
        <is>
          <t>增长负责人</t>
        </is>
      </c>
      <c r="F5" s="7" t="inlineStr">
        <is>
          <t>转化率 ≥3.5%</t>
        </is>
      </c>
    </row>
    <row r="6" ht="44" customHeight="1">
      <c r="A6" s="55" t="inlineStr">
        <is>
          <t>P0</t>
        </is>
      </c>
      <c r="B6" s="7" t="inlineStr">
        <is>
          <t>第 1–2 周</t>
        </is>
      </c>
      <c r="C6" s="56" t="inlineStr">
        <is>
          <t>年约合同默认化改造</t>
        </is>
      </c>
      <c r="D6" s="56" t="inlineStr">
        <is>
          <t>把月付默认改为年约默认+月付可选。当前销售客年约占比 62%，目标 75%。</t>
        </is>
      </c>
      <c r="E6" s="7" t="inlineStr">
        <is>
          <t>产品+销售</t>
        </is>
      </c>
      <c r="F6" s="7" t="inlineStr">
        <is>
          <t>年约占比 ≥70%</t>
        </is>
      </c>
    </row>
    <row r="7" ht="44" customHeight="1">
      <c r="A7" s="55" t="inlineStr">
        <is>
          <t>P0</t>
        </is>
      </c>
      <c r="B7" s="7" t="inlineStr">
        <is>
          <t>第 2–4 周</t>
        </is>
      </c>
      <c r="C7" s="56" t="inlineStr">
        <is>
          <t>同群客户席位扩张归因</t>
        </is>
      </c>
      <c r="D7" s="56" t="inlineStr">
        <is>
          <t>建立 12 个月 cohort 的席位追踪表，验证 1.85%/月 扩张率真实性。NRR 全部押在这个数上。</t>
        </is>
      </c>
      <c r="E7" s="7" t="inlineStr">
        <is>
          <t>数据分析</t>
        </is>
      </c>
      <c r="F7" s="7" t="inlineStr">
        <is>
          <t>席位扩张 ≥1.5%/月</t>
        </is>
      </c>
    </row>
    <row r="8" ht="44" customHeight="1">
      <c r="A8" s="36" t="inlineStr">
        <is>
          <t>P1</t>
        </is>
      </c>
      <c r="B8" s="7" t="inlineStr">
        <is>
          <t>第 3–6 周</t>
        </is>
      </c>
      <c r="C8" s="56" t="inlineStr">
        <is>
          <t>单注册成本压到 $26 以下</t>
        </is>
      </c>
      <c r="D8" s="56" t="inlineStr">
        <is>
          <t>SEO/内容/口碑三线并进。参考 ClickUp 40% 新注册来自口碑的结构性红利。</t>
        </is>
      </c>
      <c r="E8" s="7" t="inlineStr">
        <is>
          <t>市场负责人</t>
        </is>
      </c>
      <c r="F8" s="7" t="inlineStr">
        <is>
          <t>CAC 回收 ≤9 月</t>
        </is>
      </c>
    </row>
    <row r="9" ht="44" customHeight="1">
      <c r="A9" s="36" t="inlineStr">
        <is>
          <t>P1</t>
        </is>
      </c>
      <c r="B9" s="7" t="inlineStr">
        <is>
          <t>第 4–8 周</t>
        </is>
      </c>
      <c r="C9" s="56" t="inlineStr">
        <is>
          <t>AE 人效爬坡实验</t>
        </is>
      </c>
      <c r="D9" s="56" t="inlineStr">
        <is>
          <t>新人 AE 前 6 个月人效只有成熟期 40–60%，提前设计扶持机制与产品化辅助。</t>
        </is>
      </c>
      <c r="E9" s="7" t="inlineStr">
        <is>
          <t>销售负责人</t>
        </is>
      </c>
      <c r="F9" s="7" t="inlineStr">
        <is>
          <t>M18 人效 ≥1.4</t>
        </is>
      </c>
    </row>
    <row r="10" ht="44" customHeight="1">
      <c r="A10" s="36" t="inlineStr">
        <is>
          <t>P1</t>
        </is>
      </c>
      <c r="B10" s="7" t="inlineStr">
        <is>
          <t>第 6–10 周</t>
        </is>
      </c>
      <c r="C10" s="56" t="inlineStr">
        <is>
          <t>用量包/AI 席位产品化预研</t>
        </is>
      </c>
      <c r="D10" s="56" t="inlineStr">
        <is>
          <t>按用量定价公司 NDR 中位 108% vs 按席位 98%，这 10 个百分点是防御性布局。</t>
        </is>
      </c>
      <c r="E10" s="7" t="inlineStr">
        <is>
          <t>产品负责人</t>
        </is>
      </c>
      <c r="F10" s="7" t="inlineStr">
        <is>
          <t>MVP 方案成型</t>
        </is>
      </c>
    </row>
    <row r="11" ht="44" customHeight="1">
      <c r="A11" s="57" t="inlineStr">
        <is>
          <t>P2</t>
        </is>
      </c>
      <c r="B11" s="7" t="inlineStr">
        <is>
          <t>第 8–12 周</t>
        </is>
      </c>
      <c r="C11" s="56" t="inlineStr">
        <is>
          <t>A 轮材料与投资人接触准备</t>
        </is>
      </c>
      <c r="D11" s="56" t="inlineStr">
        <is>
          <t>M13 开始接触。需准备：cohort 留存表、单位经济三件套、月度现金表。</t>
        </is>
      </c>
      <c r="E11" s="7" t="inlineStr">
        <is>
          <t>CEO+财务</t>
        </is>
      </c>
      <c r="F11" s="7" t="inlineStr">
        <is>
          <t>3 家机构首会</t>
        </is>
      </c>
    </row>
    <row r="12" ht="44" customHeight="1">
      <c r="A12" s="57" t="inlineStr">
        <is>
          <t>P2</t>
        </is>
      </c>
      <c r="B12" s="7" t="inlineStr">
        <is>
          <t>第 10–13 周</t>
        </is>
      </c>
      <c r="C12" s="56" t="inlineStr">
        <is>
          <t>GRR/NRR 双指标看板上线</t>
        </is>
      </c>
      <c r="D12" s="56" t="inlineStr">
        <is>
          <t>区分 GRR 与 NRR。NRR 高但 GRR 低意味着少数大客户掩盖多数流失，不可持续。</t>
        </is>
      </c>
      <c r="E12" s="7" t="inlineStr">
        <is>
          <t>财务+分析</t>
        </is>
      </c>
      <c r="F12" s="7" t="inlineStr">
        <is>
          <t>GRR ≥68%</t>
        </is>
      </c>
    </row>
    <row r="13" ht="44" customHeight="1">
      <c r="A13" s="57" t="inlineStr">
        <is>
          <t>P2</t>
        </is>
      </c>
      <c r="B13" s="7" t="inlineStr">
        <is>
          <t>第 12 周</t>
        </is>
      </c>
      <c r="C13" s="56" t="inlineStr">
        <is>
          <t>成本冻结预案预置</t>
        </is>
      </c>
      <c r="D13" s="56" t="inlineStr">
        <is>
          <t>若 Y2 后 ARR 增速跌破 60%，研发绝对额立即冻结。当前 Y3 研发占收入 40%，无缓冲。</t>
        </is>
      </c>
      <c r="E13" s="7" t="inlineStr">
        <is>
          <t>CEO</t>
        </is>
      </c>
      <c r="F13" s="7" t="inlineStr">
        <is>
          <t>预案就位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60" customWidth="1" min="4" max="4"/>
    <col width="34" customWidth="1" min="5" max="5"/>
  </cols>
  <sheetData>
    <row r="1" ht="26" customHeight="1">
      <c r="A1" s="1" t="inlineStr">
        <is>
          <t>12 个月路线图 · 基准情景</t>
        </is>
      </c>
    </row>
    <row r="2">
      <c r="A2" s="2" t="inlineStr">
        <is>
          <t>ARR 里程碑由模型推导；验收标准对应模型中的健康带。</t>
        </is>
      </c>
    </row>
    <row r="4">
      <c r="A4" s="16" t="inlineStr">
        <is>
          <t>季度</t>
        </is>
      </c>
      <c r="B4" s="16" t="inlineStr">
        <is>
          <t>主题</t>
        </is>
      </c>
      <c r="C4" s="16" t="inlineStr">
        <is>
          <t>ARR 目标</t>
        </is>
      </c>
      <c r="D4" s="16" t="inlineStr">
        <is>
          <t>重点动作</t>
        </is>
      </c>
      <c r="E4" s="16" t="inlineStr">
        <is>
          <t>验收标准</t>
        </is>
      </c>
    </row>
    <row r="5" ht="46" customHeight="1">
      <c r="A5" s="58" t="inlineStr">
        <is>
          <t>Q1</t>
        </is>
      </c>
      <c r="B5" s="7" t="inlineStr">
        <is>
          <t>验证 PMF</t>
        </is>
      </c>
      <c r="C5" s="17" t="inlineStr">
        <is>
          <t>ARR $0.5M</t>
        </is>
      </c>
      <c r="D5" s="56" t="inlineStr">
        <is>
          <t>PLG 转化爬坡到 3.5%、年约占比提至 60%、留存表上线</t>
        </is>
      </c>
      <c r="E5" s="56" t="inlineStr">
        <is>
          <t>NRR ≥90%，月流失 ≤4.5%</t>
        </is>
      </c>
    </row>
    <row r="6" ht="46" customHeight="1">
      <c r="A6" s="59" t="inlineStr">
        <is>
          <t>Q2</t>
        </is>
      </c>
      <c r="B6" s="7" t="inlineStr">
        <is>
          <t>跨过门槛</t>
        </is>
      </c>
      <c r="C6" s="17" t="inlineStr">
        <is>
          <t>ARR $1.0M</t>
        </is>
      </c>
      <c r="D6" s="56" t="inlineStr">
        <is>
          <t>ARR 破 $1M，接触投资人，A 轮材料定稿</t>
        </is>
      </c>
      <c r="E6" s="56" t="inlineStr">
        <is>
          <t>A 轮材料就绪，M13 首会</t>
        </is>
      </c>
    </row>
    <row r="7" ht="46" customHeight="1">
      <c r="A7" s="60" t="inlineStr">
        <is>
          <t>Q3</t>
        </is>
      </c>
      <c r="B7" s="7" t="inlineStr">
        <is>
          <t>A 轮 + 扩张</t>
        </is>
      </c>
      <c r="C7" s="17" t="inlineStr">
        <is>
          <t>ARR $1.6M</t>
        </is>
      </c>
      <c r="D7" s="56" t="inlineStr">
        <is>
          <t>A 轮 M18 打款 $12M，团队翻倍至 35 人，席位扩张率守住</t>
        </is>
      </c>
      <c r="E7" s="56" t="inlineStr">
        <is>
          <t>A 轮到位，MRR 增速 ≥10%/月</t>
        </is>
      </c>
    </row>
    <row r="8" ht="46" customHeight="1">
      <c r="A8" s="33" t="inlineStr">
        <is>
          <t>Q4</t>
        </is>
      </c>
      <c r="B8" s="7" t="inlineStr">
        <is>
          <t>单位经济</t>
        </is>
      </c>
      <c r="C8" s="17" t="inlineStr">
        <is>
          <t>ARR $2.2M</t>
        </is>
      </c>
      <c r="D8" s="56" t="inlineStr">
        <is>
          <t>CAC 回收压进 6 月，S&amp;M 占比开始下降，GRR 稳定 70%+</t>
        </is>
      </c>
      <c r="E8" s="56" t="inlineStr">
        <is>
          <t>烧钱倍数 &lt;1.5x，ARR/员工 ≥$150K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6" customHeight="1">
      <c r="A1" s="1" t="inlineStr">
        <is>
          <t>敏感性分析 · M36 ARR（US$M）</t>
        </is>
      </c>
    </row>
    <row r="2">
      <c r="A2" s="2" t="inlineStr">
        <is>
          <t>行=获客成本（单注册成本）倍数，列=流失率倍数。基准=中心格。</t>
        </is>
      </c>
    </row>
    <row r="4">
      <c r="A4" s="16" t="inlineStr">
        <is>
          <t>获客成本 \ 流失率</t>
        </is>
      </c>
      <c r="B4" s="16" t="inlineStr">
        <is>
          <t>×0.8</t>
        </is>
      </c>
      <c r="C4" s="16" t="inlineStr">
        <is>
          <t>×1</t>
        </is>
      </c>
      <c r="D4" s="16" t="inlineStr">
        <is>
          <t>×1.25</t>
        </is>
      </c>
      <c r="E4" s="16" t="inlineStr">
        <is>
          <t>×1.5</t>
        </is>
      </c>
    </row>
    <row r="5">
      <c r="A5" s="49" t="inlineStr">
        <is>
          <t>×0.7</t>
        </is>
      </c>
      <c r="B5" s="61" t="n">
        <v>4.95</v>
      </c>
      <c r="C5" s="61" t="n">
        <v>4.63</v>
      </c>
      <c r="D5" s="61" t="n">
        <v>4.28</v>
      </c>
      <c r="E5" s="61" t="n">
        <v>3.99</v>
      </c>
    </row>
    <row r="6">
      <c r="A6" s="49" t="inlineStr">
        <is>
          <t>×1</t>
        </is>
      </c>
      <c r="B6" s="61" t="n">
        <v>4.95</v>
      </c>
      <c r="C6" s="62" t="n">
        <v>4.63</v>
      </c>
      <c r="D6" s="61" t="n">
        <v>4.28</v>
      </c>
      <c r="E6" s="61" t="n">
        <v>3.99</v>
      </c>
    </row>
    <row r="7">
      <c r="A7" s="49" t="inlineStr">
        <is>
          <t>×1.4</t>
        </is>
      </c>
      <c r="B7" s="61" t="n">
        <v>4.95</v>
      </c>
      <c r="C7" s="61" t="n">
        <v>4.63</v>
      </c>
      <c r="D7" s="61" t="n">
        <v>4.28</v>
      </c>
      <c r="E7" s="61" t="n">
        <v>3.99</v>
      </c>
    </row>
    <row r="8">
      <c r="A8" s="49" t="inlineStr">
        <is>
          <t>×1.9</t>
        </is>
      </c>
      <c r="B8" s="61" t="n">
        <v>4.95</v>
      </c>
      <c r="C8" s="61" t="n">
        <v>4.63</v>
      </c>
      <c r="D8" s="61" t="n">
        <v>4.28</v>
      </c>
      <c r="E8" s="61" t="n">
        <v>3.99</v>
      </c>
    </row>
    <row r="10">
      <c r="A10" s="45" t="inlineStr">
        <is>
          <t>同网格的 CAC 回收期（月）</t>
        </is>
      </c>
    </row>
    <row r="11">
      <c r="A11" s="16" t="inlineStr">
        <is>
          <t>获客成本 \ 流失率</t>
        </is>
      </c>
      <c r="B11" s="16" t="inlineStr">
        <is>
          <t>×0.8</t>
        </is>
      </c>
      <c r="C11" s="16" t="inlineStr">
        <is>
          <t>×1</t>
        </is>
      </c>
      <c r="D11" s="16" t="inlineStr">
        <is>
          <t>×1.25</t>
        </is>
      </c>
      <c r="E11" s="16" t="inlineStr">
        <is>
          <t>×1.5</t>
        </is>
      </c>
    </row>
    <row r="12">
      <c r="A12" s="49" t="inlineStr">
        <is>
          <t>×0.7</t>
        </is>
      </c>
      <c r="B12" s="63" t="n">
        <v>5.6</v>
      </c>
      <c r="C12" s="63" t="n">
        <v>5.6</v>
      </c>
      <c r="D12" s="63" t="n">
        <v>5.7</v>
      </c>
      <c r="E12" s="63" t="n">
        <v>5.8</v>
      </c>
    </row>
    <row r="13">
      <c r="A13" s="49" t="inlineStr">
        <is>
          <t>×1</t>
        </is>
      </c>
      <c r="B13" s="63" t="n">
        <v>6</v>
      </c>
      <c r="C13" s="31" t="n">
        <v>6</v>
      </c>
      <c r="D13" s="31" t="n">
        <v>6.1</v>
      </c>
      <c r="E13" s="31" t="n">
        <v>6.2</v>
      </c>
    </row>
    <row r="14">
      <c r="A14" s="49" t="inlineStr">
        <is>
          <t>×1.4</t>
        </is>
      </c>
      <c r="B14" s="31" t="n">
        <v>6.5</v>
      </c>
      <c r="C14" s="31" t="n">
        <v>6.5</v>
      </c>
      <c r="D14" s="31" t="n">
        <v>6.6</v>
      </c>
      <c r="E14" s="31" t="n">
        <v>6.7</v>
      </c>
    </row>
    <row r="15">
      <c r="A15" s="49" t="inlineStr">
        <is>
          <t>×1.9</t>
        </is>
      </c>
      <c r="B15" s="31" t="n">
        <v>7.1</v>
      </c>
      <c r="C15" s="31" t="n">
        <v>7.2</v>
      </c>
      <c r="D15" s="31" t="n">
        <v>7.3</v>
      </c>
      <c r="E15" s="31" t="n">
        <v>7.4</v>
      </c>
    </row>
  </sheetData>
  <mergeCells count="2">
    <mergeCell ref="A2:F2"/>
    <mergeCell ref="A1:F1"/>
  </mergeCells>
  <conditionalFormatting sqref="B12:E15">
    <cfRule type="cellIs" priority="1" operator="greaterThan" dxfId="0">
      <formula>12</formula>
    </cfRule>
    <cfRule type="cellIs" priority="2" operator="lessThanOrEqual" dxfId="1">
      <formula>6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6" customHeight="1">
      <c r="A1" s="1" t="inlineStr">
        <is>
          <t>模型说明与来源</t>
        </is>
      </c>
    </row>
    <row r="2" ht="16" customHeight="1">
      <c r="A2" s="64" t="inlineStr">
        <is>
          <t>模型性质</t>
        </is>
      </c>
      <c r="B2" s="65" t="inlineStr">
        <is>
          <t>逐月 cohort 仿真（36 个月 × 3 情景），非静态表。假设页为唯一输入口。</t>
        </is>
      </c>
    </row>
    <row r="3" ht="16" customHeight="1">
      <c r="A3" s="64" t="inlineStr">
        <is>
          <t>恒等式校验</t>
        </is>
      </c>
      <c r="B3" s="65" t="inlineStr">
        <is>
          <t>LTV/CAC = 1 ÷ (月流失率 × CAC 回收期)。模型每次运行自动验证，不允许三组数字互不自洽。</t>
        </is>
      </c>
    </row>
    <row r="4" ht="16" customHeight="1">
      <c r="A4" s="64" t="inlineStr">
        <is>
          <t>CAC 是产出</t>
        </is>
      </c>
      <c r="B4" s="65" t="inlineStr">
        <is>
          <t>营销预算 = 注册量 × 单注册成本 + 固定项目；新客由漏斗产出。CAC 全程为模型结果，非手插常数。</t>
        </is>
      </c>
    </row>
    <row r="5" ht="16" customHeight="1">
      <c r="A5" s="64" t="inlineStr">
        <is>
          <t>分群流失</t>
        </is>
      </c>
      <c r="B5" s="65" t="inlineStr">
        <is>
          <t>PLG 自助客（月付为主，高流失）与销售辅助客（年约为准，低流失）分开建模，混合后得整体指标。</t>
        </is>
      </c>
    </row>
    <row r="6" ht="16" customHeight="1">
      <c r="A6" s="64" t="inlineStr">
        <is>
          <t>三情景</t>
        </is>
      </c>
      <c r="B6" s="65" t="inlineStr">
        <is>
          <t>悲观/基准/乐观。基准参数由 81 组参数扫描按行业基准带评分选出（calibrate.py）。</t>
        </is>
      </c>
    </row>
    <row r="7" ht="16" customHeight="1">
      <c r="A7" s="64" t="inlineStr">
        <is>
          <t>融资推导</t>
        </is>
      </c>
      <c r="B7" s="65" t="inlineStr">
        <is>
          <t>先跑「无 A 轮」版本求现金击穿月，再与 ARR 门槛交叉验证；规模按市场标准反推，生存所需仅作下限。</t>
        </is>
      </c>
    </row>
    <row r="8" ht="16" customHeight="1">
      <c r="A8" s="64" t="inlineStr"/>
      <c r="B8" s="65" t="inlineStr"/>
    </row>
    <row r="9" ht="75" customHeight="1">
      <c r="A9" s="64" t="inlineStr">
        <is>
          <t>行业基准来源</t>
        </is>
      </c>
      <c r="B9" s="65" t="inlineStr">
        <is>
          <t>Aleph × Benchmarkit《2026 B2B SaaS &amp; AI-Native Metrics》（342 家，2025 实际值）；Optifai 939 家 B2B SaaS 样本；SaaS Capital《2025 B2B SaaS Retention Benchmarks》（1,000+ 家）；Carta《SaaS Industry Spotlight Q3 2025》《Founder Ownership Report 2025》《US Software Fundraising Benchmarks H2 2025》。</t>
        </is>
      </c>
    </row>
    <row r="10" ht="45" customHeight="1">
      <c r="A10" s="64" t="inlineStr">
        <is>
          <t>上市公司对标</t>
        </is>
      </c>
      <c r="B10" s="65" t="inlineStr">
        <is>
          <t>monday.com FY2025 / Q2 CY2026（收入 $1.232B、+27%、毛利率 88.3%、NDR 110%、CAC 回收 34.2 月）；Asana FY2026（收入 $790.8M、+9%、毛利率 89.0%、NDR 96%）。</t>
        </is>
      </c>
    </row>
    <row r="11" ht="16" customHeight="1">
      <c r="A11" s="64" t="inlineStr"/>
      <c r="B11" s="65" t="inlineStr"/>
    </row>
    <row r="12" ht="30" customHeight="1">
      <c r="A12" s="64" t="inlineStr">
        <is>
          <t>口径提示</t>
        </is>
      </c>
      <c r="B12" s="65" t="inlineStr">
        <is>
          <t>CAC 回收期用毛利口径（Benchmarkit / SaaS Metrics Standards Board 标准）。用收入口径会把数字美化约 20%。</t>
        </is>
      </c>
    </row>
    <row r="13" ht="30" customHeight="1">
      <c r="A13" s="64" t="inlineStr">
        <is>
          <t>使用限制</t>
        </is>
      </c>
      <c r="B13" s="65" t="inlineStr">
        <is>
          <t>本模型是规划工具不是预测。基准情景=参数落在行业中位时的结果，不是预期值。建议每月用实际数据重跑，重点校准 PLG 转化率、席位扩张率、销售人效三个变量。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signups</t>
        </is>
      </c>
    </row>
    <row r="2">
      <c r="A2" t="n">
        <v>1</v>
      </c>
      <c r="B2" t="n">
        <v>90</v>
      </c>
      <c r="C2" t="n">
        <v>120</v>
      </c>
      <c r="D2" t="n">
        <v>155</v>
      </c>
    </row>
    <row r="3">
      <c r="A3" t="n">
        <v>2</v>
      </c>
      <c r="B3" t="n">
        <v>105</v>
      </c>
      <c r="C3" t="n">
        <v>145</v>
      </c>
      <c r="D3" t="n">
        <v>187.5</v>
      </c>
    </row>
    <row r="4">
      <c r="A4" t="n">
        <v>3</v>
      </c>
      <c r="B4" t="n">
        <v>120</v>
      </c>
      <c r="C4" t="n">
        <v>170</v>
      </c>
      <c r="D4" t="n">
        <v>220</v>
      </c>
    </row>
    <row r="5">
      <c r="A5" t="n">
        <v>4</v>
      </c>
      <c r="B5" t="n">
        <v>135</v>
      </c>
      <c r="C5" t="n">
        <v>196.6666666666667</v>
      </c>
      <c r="D5" t="n">
        <v>253.3333333333333</v>
      </c>
    </row>
    <row r="6">
      <c r="A6" t="n">
        <v>5</v>
      </c>
      <c r="B6" t="n">
        <v>150</v>
      </c>
      <c r="C6" t="n">
        <v>223.3333333333333</v>
      </c>
      <c r="D6" t="n">
        <v>286.6666666666666</v>
      </c>
    </row>
    <row r="7">
      <c r="A7" t="n">
        <v>6</v>
      </c>
      <c r="B7" t="n">
        <v>165</v>
      </c>
      <c r="C7" t="n">
        <v>250</v>
      </c>
      <c r="D7" t="n">
        <v>320</v>
      </c>
    </row>
    <row r="8">
      <c r="A8" t="n">
        <v>7</v>
      </c>
      <c r="B8" t="n">
        <v>181.6666666666667</v>
      </c>
      <c r="C8" t="n">
        <v>280</v>
      </c>
      <c r="D8" t="n">
        <v>360</v>
      </c>
    </row>
    <row r="9">
      <c r="A9" t="n">
        <v>8</v>
      </c>
      <c r="B9" t="n">
        <v>198.3333333333333</v>
      </c>
      <c r="C9" t="n">
        <v>310</v>
      </c>
      <c r="D9" t="n">
        <v>400</v>
      </c>
    </row>
    <row r="10">
      <c r="A10" t="n">
        <v>9</v>
      </c>
      <c r="B10" t="n">
        <v>215</v>
      </c>
      <c r="C10" t="n">
        <v>340</v>
      </c>
      <c r="D10" t="n">
        <v>440</v>
      </c>
    </row>
    <row r="11">
      <c r="A11" t="n">
        <v>10</v>
      </c>
      <c r="B11" t="n">
        <v>231.6666666666667</v>
      </c>
      <c r="C11" t="n">
        <v>373.3333333333333</v>
      </c>
      <c r="D11" t="n">
        <v>483.3333333333333</v>
      </c>
    </row>
    <row r="12">
      <c r="A12" t="n">
        <v>11</v>
      </c>
      <c r="B12" t="n">
        <v>248.3333333333333</v>
      </c>
      <c r="C12" t="n">
        <v>406.6666666666666</v>
      </c>
      <c r="D12" t="n">
        <v>526.6666666666666</v>
      </c>
    </row>
    <row r="13">
      <c r="A13" t="n">
        <v>12</v>
      </c>
      <c r="B13" t="n">
        <v>265</v>
      </c>
      <c r="C13" t="n">
        <v>440</v>
      </c>
      <c r="D13" t="n">
        <v>570</v>
      </c>
    </row>
    <row r="14">
      <c r="A14" t="n">
        <v>13</v>
      </c>
      <c r="B14" t="n">
        <v>280</v>
      </c>
      <c r="C14" t="n">
        <v>473.3333333333333</v>
      </c>
      <c r="D14" t="n">
        <v>613.3333333333334</v>
      </c>
    </row>
    <row r="15">
      <c r="A15" t="n">
        <v>14</v>
      </c>
      <c r="B15" t="n">
        <v>295</v>
      </c>
      <c r="C15" t="n">
        <v>506.6666666666666</v>
      </c>
      <c r="D15" t="n">
        <v>656.6666666666666</v>
      </c>
    </row>
    <row r="16">
      <c r="A16" t="n">
        <v>15</v>
      </c>
      <c r="B16" t="n">
        <v>310</v>
      </c>
      <c r="C16" t="n">
        <v>540</v>
      </c>
      <c r="D16" t="n">
        <v>700</v>
      </c>
    </row>
    <row r="17">
      <c r="A17" t="n">
        <v>16</v>
      </c>
      <c r="B17" t="n">
        <v>325</v>
      </c>
      <c r="C17" t="n">
        <v>573.3333333333334</v>
      </c>
      <c r="D17" t="n">
        <v>743.3333333333334</v>
      </c>
    </row>
    <row r="18">
      <c r="A18" t="n">
        <v>17</v>
      </c>
      <c r="B18" t="n">
        <v>340</v>
      </c>
      <c r="C18" t="n">
        <v>606.6666666666666</v>
      </c>
      <c r="D18" t="n">
        <v>786.6666666666666</v>
      </c>
    </row>
    <row r="19">
      <c r="A19" t="n">
        <v>18</v>
      </c>
      <c r="B19" t="n">
        <v>355</v>
      </c>
      <c r="C19" t="n">
        <v>640</v>
      </c>
      <c r="D19" t="n">
        <v>830</v>
      </c>
    </row>
    <row r="20">
      <c r="A20" t="n">
        <v>19</v>
      </c>
      <c r="B20" t="n">
        <v>368.3333333333333</v>
      </c>
      <c r="C20" t="n">
        <v>670</v>
      </c>
      <c r="D20" t="n">
        <v>870</v>
      </c>
    </row>
    <row r="21">
      <c r="A21" t="n">
        <v>20</v>
      </c>
      <c r="B21" t="n">
        <v>381.6666666666667</v>
      </c>
      <c r="C21" t="n">
        <v>700</v>
      </c>
      <c r="D21" t="n">
        <v>910</v>
      </c>
    </row>
    <row r="22">
      <c r="A22" t="n">
        <v>21</v>
      </c>
      <c r="B22" t="n">
        <v>395</v>
      </c>
      <c r="C22" t="n">
        <v>730</v>
      </c>
      <c r="D22" t="n">
        <v>950</v>
      </c>
    </row>
    <row r="23">
      <c r="A23" t="n">
        <v>22</v>
      </c>
      <c r="B23" t="n">
        <v>408.3333333333333</v>
      </c>
      <c r="C23" t="n">
        <v>756.6666666666666</v>
      </c>
      <c r="D23" t="n">
        <v>986.6666666666666</v>
      </c>
    </row>
    <row r="24">
      <c r="A24" t="n">
        <v>23</v>
      </c>
      <c r="B24" t="n">
        <v>421.6666666666667</v>
      </c>
      <c r="C24" t="n">
        <v>783.3333333333334</v>
      </c>
      <c r="D24" t="n">
        <v>1023.333333333333</v>
      </c>
    </row>
    <row r="25">
      <c r="A25" t="n">
        <v>24</v>
      </c>
      <c r="B25" t="n">
        <v>435</v>
      </c>
      <c r="C25" t="n">
        <v>810</v>
      </c>
      <c r="D25" t="n">
        <v>1060</v>
      </c>
    </row>
    <row r="26">
      <c r="A26" t="n">
        <v>25</v>
      </c>
      <c r="B26" t="n">
        <v>446.6666666666667</v>
      </c>
      <c r="C26" t="n">
        <v>833.3333333333334</v>
      </c>
      <c r="D26" t="n">
        <v>1093.333333333333</v>
      </c>
    </row>
    <row r="27">
      <c r="A27" t="n">
        <v>26</v>
      </c>
      <c r="B27" t="n">
        <v>458.3333333333333</v>
      </c>
      <c r="C27" t="n">
        <v>856.6666666666666</v>
      </c>
      <c r="D27" t="n">
        <v>1126.666666666667</v>
      </c>
    </row>
    <row r="28">
      <c r="A28" t="n">
        <v>27</v>
      </c>
      <c r="B28" t="n">
        <v>470</v>
      </c>
      <c r="C28" t="n">
        <v>880</v>
      </c>
      <c r="D28" t="n">
        <v>1160</v>
      </c>
    </row>
    <row r="29">
      <c r="A29" t="n">
        <v>28</v>
      </c>
      <c r="B29" t="n">
        <v>481.6666666666667</v>
      </c>
      <c r="C29" t="n">
        <v>900</v>
      </c>
      <c r="D29" t="n">
        <v>1190</v>
      </c>
    </row>
    <row r="30">
      <c r="A30" t="n">
        <v>29</v>
      </c>
      <c r="B30" t="n">
        <v>493.3333333333333</v>
      </c>
      <c r="C30" t="n">
        <v>920</v>
      </c>
      <c r="D30" t="n">
        <v>1220</v>
      </c>
    </row>
    <row r="31">
      <c r="A31" t="n">
        <v>30</v>
      </c>
      <c r="B31" t="n">
        <v>505</v>
      </c>
      <c r="C31" t="n">
        <v>940</v>
      </c>
      <c r="D31" t="n">
        <v>1250</v>
      </c>
    </row>
    <row r="32">
      <c r="A32" t="n">
        <v>31</v>
      </c>
      <c r="B32" t="n">
        <v>515</v>
      </c>
      <c r="C32" t="n">
        <v>956.6666666666666</v>
      </c>
      <c r="D32" t="n">
        <v>1276.666666666667</v>
      </c>
    </row>
    <row r="33">
      <c r="A33" t="n">
        <v>32</v>
      </c>
      <c r="B33" t="n">
        <v>525</v>
      </c>
      <c r="C33" t="n">
        <v>973.3333333333334</v>
      </c>
      <c r="D33" t="n">
        <v>1303.333333333333</v>
      </c>
    </row>
    <row r="34">
      <c r="A34" t="n">
        <v>33</v>
      </c>
      <c r="B34" t="n">
        <v>535</v>
      </c>
      <c r="C34" t="n">
        <v>990</v>
      </c>
      <c r="D34" t="n">
        <v>1330</v>
      </c>
    </row>
    <row r="35">
      <c r="A35" t="n">
        <v>34</v>
      </c>
      <c r="B35" t="n">
        <v>545</v>
      </c>
      <c r="C35" t="n">
        <v>1003.333333333333</v>
      </c>
      <c r="D35" t="n">
        <v>1353.333333333333</v>
      </c>
    </row>
    <row r="36">
      <c r="A36" t="n">
        <v>35</v>
      </c>
      <c r="B36" t="n">
        <v>555</v>
      </c>
      <c r="C36" t="n">
        <v>1016.666666666667</v>
      </c>
      <c r="D36" t="n">
        <v>1376.666666666667</v>
      </c>
    </row>
    <row r="37">
      <c r="A37" t="n">
        <v>36</v>
      </c>
      <c r="B37" t="n">
        <v>565</v>
      </c>
      <c r="C37" t="n">
        <v>1030</v>
      </c>
      <c r="D37" t="n">
        <v>1400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conv</t>
        </is>
      </c>
    </row>
    <row r="2">
      <c r="A2" t="n">
        <v>1</v>
      </c>
      <c r="B2" t="n">
        <v>0.025</v>
      </c>
      <c r="C2" t="n">
        <v>0.032</v>
      </c>
      <c r="D2" t="n">
        <v>0.038</v>
      </c>
    </row>
    <row r="3">
      <c r="A3" t="n">
        <v>2</v>
      </c>
      <c r="B3" t="n">
        <v>0.025</v>
      </c>
      <c r="C3" t="n">
        <v>0.032</v>
      </c>
      <c r="D3" t="n">
        <v>0.038</v>
      </c>
    </row>
    <row r="4">
      <c r="A4" t="n">
        <v>3</v>
      </c>
      <c r="B4" t="n">
        <v>0.025</v>
      </c>
      <c r="C4" t="n">
        <v>0.032</v>
      </c>
      <c r="D4" t="n">
        <v>0.038</v>
      </c>
    </row>
    <row r="5">
      <c r="A5" t="n">
        <v>4</v>
      </c>
      <c r="B5" t="n">
        <v>0.025</v>
      </c>
      <c r="C5" t="n">
        <v>0.032</v>
      </c>
      <c r="D5" t="n">
        <v>0.038</v>
      </c>
    </row>
    <row r="6">
      <c r="A6" t="n">
        <v>5</v>
      </c>
      <c r="B6" t="n">
        <v>0.025</v>
      </c>
      <c r="C6" t="n">
        <v>0.032</v>
      </c>
      <c r="D6" t="n">
        <v>0.038</v>
      </c>
    </row>
    <row r="7">
      <c r="A7" t="n">
        <v>6</v>
      </c>
      <c r="B7" t="n">
        <v>0.025</v>
      </c>
      <c r="C7" t="n">
        <v>0.032</v>
      </c>
      <c r="D7" t="n">
        <v>0.038</v>
      </c>
    </row>
    <row r="8">
      <c r="A8" t="n">
        <v>7</v>
      </c>
      <c r="B8" t="n">
        <v>0.025</v>
      </c>
      <c r="C8" t="n">
        <v>0.032</v>
      </c>
      <c r="D8" t="n">
        <v>0.038</v>
      </c>
    </row>
    <row r="9">
      <c r="A9" t="n">
        <v>8</v>
      </c>
      <c r="B9" t="n">
        <v>0.025</v>
      </c>
      <c r="C9" t="n">
        <v>0.032</v>
      </c>
      <c r="D9" t="n">
        <v>0.038</v>
      </c>
    </row>
    <row r="10">
      <c r="A10" t="n">
        <v>9</v>
      </c>
      <c r="B10" t="n">
        <v>0.025</v>
      </c>
      <c r="C10" t="n">
        <v>0.032</v>
      </c>
      <c r="D10" t="n">
        <v>0.038</v>
      </c>
    </row>
    <row r="11">
      <c r="A11" t="n">
        <v>10</v>
      </c>
      <c r="B11" t="n">
        <v>0.025</v>
      </c>
      <c r="C11" t="n">
        <v>0.032</v>
      </c>
      <c r="D11" t="n">
        <v>0.038</v>
      </c>
    </row>
    <row r="12">
      <c r="A12" t="n">
        <v>11</v>
      </c>
      <c r="B12" t="n">
        <v>0.025</v>
      </c>
      <c r="C12" t="n">
        <v>0.032</v>
      </c>
      <c r="D12" t="n">
        <v>0.038</v>
      </c>
    </row>
    <row r="13">
      <c r="A13" t="n">
        <v>12</v>
      </c>
      <c r="B13" t="n">
        <v>0.025</v>
      </c>
      <c r="C13" t="n">
        <v>0.032</v>
      </c>
      <c r="D13" t="n">
        <v>0.038</v>
      </c>
    </row>
    <row r="14">
      <c r="A14" t="n">
        <v>13</v>
      </c>
      <c r="B14" t="n">
        <v>0.027</v>
      </c>
      <c r="C14" t="n">
        <v>0.036</v>
      </c>
      <c r="D14" t="n">
        <v>0.044</v>
      </c>
    </row>
    <row r="15">
      <c r="A15" t="n">
        <v>14</v>
      </c>
      <c r="B15" t="n">
        <v>0.02716666666666667</v>
      </c>
      <c r="C15" t="n">
        <v>0.03633333333333333</v>
      </c>
      <c r="D15" t="n">
        <v>0.0445</v>
      </c>
    </row>
    <row r="16">
      <c r="A16" t="n">
        <v>15</v>
      </c>
      <c r="B16" t="n">
        <v>0.02733333333333334</v>
      </c>
      <c r="C16" t="n">
        <v>0.03666666666666667</v>
      </c>
      <c r="D16" t="n">
        <v>0.045</v>
      </c>
    </row>
    <row r="17">
      <c r="A17" t="n">
        <v>16</v>
      </c>
      <c r="B17" t="n">
        <v>0.0275</v>
      </c>
      <c r="C17" t="n">
        <v>0.037</v>
      </c>
      <c r="D17" t="n">
        <v>0.0455</v>
      </c>
    </row>
    <row r="18">
      <c r="A18" t="n">
        <v>17</v>
      </c>
      <c r="B18" t="n">
        <v>0.02766666666666667</v>
      </c>
      <c r="C18" t="n">
        <v>0.03733333333333333</v>
      </c>
      <c r="D18" t="n">
        <v>0.04600000000000001</v>
      </c>
    </row>
    <row r="19">
      <c r="A19" t="n">
        <v>18</v>
      </c>
      <c r="B19" t="n">
        <v>0.02783333333333333</v>
      </c>
      <c r="C19" t="n">
        <v>0.03766666666666667</v>
      </c>
      <c r="D19" t="n">
        <v>0.0465</v>
      </c>
    </row>
    <row r="20">
      <c r="A20" t="n">
        <v>19</v>
      </c>
      <c r="B20" t="n">
        <v>0.028</v>
      </c>
      <c r="C20" t="n">
        <v>0.038</v>
      </c>
      <c r="D20" t="n">
        <v>0.047</v>
      </c>
    </row>
    <row r="21">
      <c r="A21" t="n">
        <v>20</v>
      </c>
      <c r="B21" t="n">
        <v>0.02816666666666667</v>
      </c>
      <c r="C21" t="n">
        <v>0.03833333333333333</v>
      </c>
      <c r="D21" t="n">
        <v>0.0475</v>
      </c>
    </row>
    <row r="22">
      <c r="A22" t="n">
        <v>21</v>
      </c>
      <c r="B22" t="n">
        <v>0.02833333333333334</v>
      </c>
      <c r="C22" t="n">
        <v>0.03866666666666667</v>
      </c>
      <c r="D22" t="n">
        <v>0.048</v>
      </c>
    </row>
    <row r="23">
      <c r="A23" t="n">
        <v>22</v>
      </c>
      <c r="B23" t="n">
        <v>0.0285</v>
      </c>
      <c r="C23" t="n">
        <v>0.039</v>
      </c>
      <c r="D23" t="n">
        <v>0.0485</v>
      </c>
    </row>
    <row r="24">
      <c r="A24" t="n">
        <v>23</v>
      </c>
      <c r="B24" t="n">
        <v>0.02866666666666667</v>
      </c>
      <c r="C24" t="n">
        <v>0.03933333333333333</v>
      </c>
      <c r="D24" t="n">
        <v>0.049</v>
      </c>
    </row>
    <row r="25">
      <c r="A25" t="n">
        <v>24</v>
      </c>
      <c r="B25" t="n">
        <v>0.02883333333333334</v>
      </c>
      <c r="C25" t="n">
        <v>0.03966666666666667</v>
      </c>
      <c r="D25" t="n">
        <v>0.0495</v>
      </c>
    </row>
    <row r="26">
      <c r="A26" t="n">
        <v>25</v>
      </c>
      <c r="B26" t="n">
        <v>0.029</v>
      </c>
      <c r="C26" t="n">
        <v>0.04</v>
      </c>
      <c r="D26" t="n">
        <v>0.05</v>
      </c>
    </row>
    <row r="27">
      <c r="A27" t="n">
        <v>26</v>
      </c>
      <c r="B27" t="n">
        <v>0.029</v>
      </c>
      <c r="C27" t="n">
        <v>0.04</v>
      </c>
      <c r="D27" t="n">
        <v>0.05</v>
      </c>
    </row>
    <row r="28">
      <c r="A28" t="n">
        <v>27</v>
      </c>
      <c r="B28" t="n">
        <v>0.029</v>
      </c>
      <c r="C28" t="n">
        <v>0.04</v>
      </c>
      <c r="D28" t="n">
        <v>0.05</v>
      </c>
    </row>
    <row r="29">
      <c r="A29" t="n">
        <v>28</v>
      </c>
      <c r="B29" t="n">
        <v>0.029</v>
      </c>
      <c r="C29" t="n">
        <v>0.04</v>
      </c>
      <c r="D29" t="n">
        <v>0.05</v>
      </c>
    </row>
    <row r="30">
      <c r="A30" t="n">
        <v>29</v>
      </c>
      <c r="B30" t="n">
        <v>0.029</v>
      </c>
      <c r="C30" t="n">
        <v>0.04000000000000001</v>
      </c>
      <c r="D30" t="n">
        <v>0.05</v>
      </c>
    </row>
    <row r="31">
      <c r="A31" t="n">
        <v>30</v>
      </c>
      <c r="B31" t="n">
        <v>0.029</v>
      </c>
      <c r="C31" t="n">
        <v>0.04</v>
      </c>
      <c r="D31" t="n">
        <v>0.05</v>
      </c>
    </row>
    <row r="32">
      <c r="A32" t="n">
        <v>31</v>
      </c>
      <c r="B32" t="n">
        <v>0.029</v>
      </c>
      <c r="C32" t="n">
        <v>0.04</v>
      </c>
      <c r="D32" t="n">
        <v>0.05</v>
      </c>
    </row>
    <row r="33">
      <c r="A33" t="n">
        <v>32</v>
      </c>
      <c r="B33" t="n">
        <v>0.029</v>
      </c>
      <c r="C33" t="n">
        <v>0.04</v>
      </c>
      <c r="D33" t="n">
        <v>0.05000000000000001</v>
      </c>
    </row>
    <row r="34">
      <c r="A34" t="n">
        <v>33</v>
      </c>
      <c r="B34" t="n">
        <v>0.029</v>
      </c>
      <c r="C34" t="n">
        <v>0.04</v>
      </c>
      <c r="D34" t="n">
        <v>0.05</v>
      </c>
    </row>
    <row r="35">
      <c r="A35" t="n">
        <v>34</v>
      </c>
      <c r="B35" t="n">
        <v>0.029</v>
      </c>
      <c r="C35" t="n">
        <v>0.04</v>
      </c>
      <c r="D35" t="n">
        <v>0.05000000000000001</v>
      </c>
    </row>
    <row r="36">
      <c r="A36" t="n">
        <v>35</v>
      </c>
      <c r="B36" t="n">
        <v>0.029</v>
      </c>
      <c r="C36" t="n">
        <v>0.04</v>
      </c>
      <c r="D36" t="n">
        <v>0.05</v>
      </c>
    </row>
    <row r="37">
      <c r="A37" t="n">
        <v>36</v>
      </c>
      <c r="B37" t="n">
        <v>0.029</v>
      </c>
      <c r="C37" t="n">
        <v>0.04</v>
      </c>
      <c r="D37" t="n">
        <v>0.05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n_ae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2</v>
      </c>
      <c r="B3" t="n">
        <v>1</v>
      </c>
      <c r="C3" t="n">
        <v>1</v>
      </c>
      <c r="D3" t="n">
        <v>1</v>
      </c>
    </row>
    <row r="4">
      <c r="A4" t="n">
        <v>3</v>
      </c>
      <c r="B4" t="n">
        <v>1</v>
      </c>
      <c r="C4" t="n">
        <v>1</v>
      </c>
      <c r="D4" t="n">
        <v>1</v>
      </c>
    </row>
    <row r="5">
      <c r="A5" t="n">
        <v>4</v>
      </c>
      <c r="B5" t="n">
        <v>1</v>
      </c>
      <c r="C5" t="n">
        <v>1</v>
      </c>
      <c r="D5" t="n">
        <v>1</v>
      </c>
    </row>
    <row r="6">
      <c r="A6" t="n">
        <v>5</v>
      </c>
      <c r="B6" t="n">
        <v>1</v>
      </c>
      <c r="C6" t="n">
        <v>1</v>
      </c>
      <c r="D6" t="n">
        <v>1</v>
      </c>
    </row>
    <row r="7">
      <c r="A7" t="n">
        <v>6</v>
      </c>
      <c r="B7" t="n">
        <v>1</v>
      </c>
      <c r="C7" t="n">
        <v>1</v>
      </c>
      <c r="D7" t="n">
        <v>1</v>
      </c>
    </row>
    <row r="8">
      <c r="A8" t="n">
        <v>7</v>
      </c>
      <c r="B8" t="n">
        <v>1</v>
      </c>
      <c r="C8" t="n">
        <v>1</v>
      </c>
      <c r="D8" t="n">
        <v>1</v>
      </c>
    </row>
    <row r="9">
      <c r="A9" t="n">
        <v>8</v>
      </c>
      <c r="B9" t="n">
        <v>1</v>
      </c>
      <c r="C9" t="n">
        <v>1</v>
      </c>
      <c r="D9" t="n">
        <v>1</v>
      </c>
    </row>
    <row r="10">
      <c r="A10" t="n">
        <v>9</v>
      </c>
      <c r="B10" t="n">
        <v>1</v>
      </c>
      <c r="C10" t="n">
        <v>1</v>
      </c>
      <c r="D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</row>
    <row r="12">
      <c r="A12" t="n">
        <v>11</v>
      </c>
      <c r="B12" t="n">
        <v>1</v>
      </c>
      <c r="C12" t="n">
        <v>1</v>
      </c>
      <c r="D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</row>
    <row r="14">
      <c r="A14" t="n">
        <v>13</v>
      </c>
      <c r="B14" t="n">
        <v>2</v>
      </c>
      <c r="C14" t="n">
        <v>2</v>
      </c>
      <c r="D14" t="n">
        <v>2</v>
      </c>
    </row>
    <row r="15">
      <c r="A15" t="n">
        <v>14</v>
      </c>
      <c r="B15" t="n">
        <v>2</v>
      </c>
      <c r="C15" t="n">
        <v>2</v>
      </c>
      <c r="D15" t="n">
        <v>2</v>
      </c>
    </row>
    <row r="16">
      <c r="A16" t="n">
        <v>15</v>
      </c>
      <c r="B16" t="n">
        <v>2</v>
      </c>
      <c r="C16" t="n">
        <v>2</v>
      </c>
      <c r="D16" t="n">
        <v>2</v>
      </c>
    </row>
    <row r="17">
      <c r="A17" t="n">
        <v>16</v>
      </c>
      <c r="B17" t="n">
        <v>2</v>
      </c>
      <c r="C17" t="n">
        <v>2</v>
      </c>
      <c r="D17" t="n">
        <v>2</v>
      </c>
    </row>
    <row r="18">
      <c r="A18" t="n">
        <v>17</v>
      </c>
      <c r="B18" t="n">
        <v>2</v>
      </c>
      <c r="C18" t="n">
        <v>2</v>
      </c>
      <c r="D18" t="n">
        <v>2</v>
      </c>
    </row>
    <row r="19">
      <c r="A19" t="n">
        <v>18</v>
      </c>
      <c r="B19" t="n">
        <v>2</v>
      </c>
      <c r="C19" t="n">
        <v>2</v>
      </c>
      <c r="D19" t="n">
        <v>2</v>
      </c>
    </row>
    <row r="20">
      <c r="A20" t="n">
        <v>19</v>
      </c>
      <c r="B20" t="n">
        <v>3</v>
      </c>
      <c r="C20" t="n">
        <v>3</v>
      </c>
      <c r="D20" t="n">
        <v>3</v>
      </c>
    </row>
    <row r="21">
      <c r="A21" t="n">
        <v>20</v>
      </c>
      <c r="B21" t="n">
        <v>3</v>
      </c>
      <c r="C21" t="n">
        <v>3</v>
      </c>
      <c r="D21" t="n">
        <v>3</v>
      </c>
    </row>
    <row r="22">
      <c r="A22" t="n">
        <v>21</v>
      </c>
      <c r="B22" t="n">
        <v>3</v>
      </c>
      <c r="C22" t="n">
        <v>3</v>
      </c>
      <c r="D22" t="n">
        <v>3</v>
      </c>
    </row>
    <row r="23">
      <c r="A23" t="n">
        <v>22</v>
      </c>
      <c r="B23" t="n">
        <v>3</v>
      </c>
      <c r="C23" t="n">
        <v>3</v>
      </c>
      <c r="D23" t="n">
        <v>3</v>
      </c>
    </row>
    <row r="24">
      <c r="A24" t="n">
        <v>23</v>
      </c>
      <c r="B24" t="n">
        <v>3</v>
      </c>
      <c r="C24" t="n">
        <v>3</v>
      </c>
      <c r="D24" t="n">
        <v>3</v>
      </c>
    </row>
    <row r="25">
      <c r="A25" t="n">
        <v>24</v>
      </c>
      <c r="B25" t="n">
        <v>3</v>
      </c>
      <c r="C25" t="n">
        <v>3</v>
      </c>
      <c r="D25" t="n">
        <v>3</v>
      </c>
    </row>
    <row r="26">
      <c r="A26" t="n">
        <v>25</v>
      </c>
      <c r="B26" t="n">
        <v>4</v>
      </c>
      <c r="C26" t="n">
        <v>4</v>
      </c>
      <c r="D26" t="n">
        <v>4</v>
      </c>
    </row>
    <row r="27">
      <c r="A27" t="n">
        <v>26</v>
      </c>
      <c r="B27" t="n">
        <v>4</v>
      </c>
      <c r="C27" t="n">
        <v>4</v>
      </c>
      <c r="D27" t="n">
        <v>4</v>
      </c>
    </row>
    <row r="28">
      <c r="A28" t="n">
        <v>27</v>
      </c>
      <c r="B28" t="n">
        <v>4</v>
      </c>
      <c r="C28" t="n">
        <v>4</v>
      </c>
      <c r="D28" t="n">
        <v>4</v>
      </c>
    </row>
    <row r="29">
      <c r="A29" t="n">
        <v>28</v>
      </c>
      <c r="B29" t="n">
        <v>4</v>
      </c>
      <c r="C29" t="n">
        <v>4</v>
      </c>
      <c r="D29" t="n">
        <v>4</v>
      </c>
    </row>
    <row r="30">
      <c r="A30" t="n">
        <v>29</v>
      </c>
      <c r="B30" t="n">
        <v>4</v>
      </c>
      <c r="C30" t="n">
        <v>4</v>
      </c>
      <c r="D30" t="n">
        <v>4</v>
      </c>
    </row>
    <row r="31">
      <c r="A31" t="n">
        <v>30</v>
      </c>
      <c r="B31" t="n">
        <v>4</v>
      </c>
      <c r="C31" t="n">
        <v>4</v>
      </c>
      <c r="D31" t="n">
        <v>4</v>
      </c>
    </row>
    <row r="32">
      <c r="A32" t="n">
        <v>31</v>
      </c>
      <c r="B32" t="n">
        <v>5</v>
      </c>
      <c r="C32" t="n">
        <v>5</v>
      </c>
      <c r="D32" t="n">
        <v>5</v>
      </c>
    </row>
    <row r="33">
      <c r="A33" t="n">
        <v>32</v>
      </c>
      <c r="B33" t="n">
        <v>5</v>
      </c>
      <c r="C33" t="n">
        <v>5</v>
      </c>
      <c r="D33" t="n">
        <v>5</v>
      </c>
    </row>
    <row r="34">
      <c r="A34" t="n">
        <v>33</v>
      </c>
      <c r="B34" t="n">
        <v>5</v>
      </c>
      <c r="C34" t="n">
        <v>5</v>
      </c>
      <c r="D34" t="n">
        <v>5</v>
      </c>
    </row>
    <row r="35">
      <c r="A35" t="n">
        <v>34</v>
      </c>
      <c r="B35" t="n">
        <v>5</v>
      </c>
      <c r="C35" t="n">
        <v>5</v>
      </c>
      <c r="D35" t="n">
        <v>5</v>
      </c>
    </row>
    <row r="36">
      <c r="A36" t="n">
        <v>35</v>
      </c>
      <c r="B36" t="n">
        <v>5</v>
      </c>
      <c r="C36" t="n">
        <v>5</v>
      </c>
      <c r="D36" t="n">
        <v>5</v>
      </c>
    </row>
    <row r="37">
      <c r="A37" t="n">
        <v>36</v>
      </c>
      <c r="B37" t="n">
        <v>5</v>
      </c>
      <c r="C37" t="n">
        <v>5</v>
      </c>
      <c r="D37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ae_prod</t>
        </is>
      </c>
    </row>
    <row r="2">
      <c r="A2" t="n">
        <v>1</v>
      </c>
      <c r="B2" t="n">
        <v>0.6</v>
      </c>
      <c r="C2" t="n">
        <v>1</v>
      </c>
      <c r="D2" t="n">
        <v>1.2</v>
      </c>
    </row>
    <row r="3">
      <c r="A3" t="n">
        <v>2</v>
      </c>
      <c r="B3" t="n">
        <v>0.6</v>
      </c>
      <c r="C3" t="n">
        <v>1</v>
      </c>
      <c r="D3" t="n">
        <v>1.2</v>
      </c>
    </row>
    <row r="4">
      <c r="A4" t="n">
        <v>3</v>
      </c>
      <c r="B4" t="n">
        <v>0.6</v>
      </c>
      <c r="C4" t="n">
        <v>1</v>
      </c>
      <c r="D4" t="n">
        <v>1.2</v>
      </c>
    </row>
    <row r="5">
      <c r="A5" t="n">
        <v>4</v>
      </c>
      <c r="B5" t="n">
        <v>0.6</v>
      </c>
      <c r="C5" t="n">
        <v>1</v>
      </c>
      <c r="D5" t="n">
        <v>1.2</v>
      </c>
    </row>
    <row r="6">
      <c r="A6" t="n">
        <v>5</v>
      </c>
      <c r="B6" t="n">
        <v>0.6</v>
      </c>
      <c r="C6" t="n">
        <v>1</v>
      </c>
      <c r="D6" t="n">
        <v>1.2</v>
      </c>
    </row>
    <row r="7">
      <c r="A7" t="n">
        <v>6</v>
      </c>
      <c r="B7" t="n">
        <v>0.6</v>
      </c>
      <c r="C7" t="n">
        <v>1</v>
      </c>
      <c r="D7" t="n">
        <v>1.2</v>
      </c>
    </row>
    <row r="8">
      <c r="A8" t="n">
        <v>7</v>
      </c>
      <c r="B8" t="n">
        <v>0.8</v>
      </c>
      <c r="C8" t="n">
        <v>1.3</v>
      </c>
      <c r="D8" t="n">
        <v>1.5</v>
      </c>
    </row>
    <row r="9">
      <c r="A9" t="n">
        <v>8</v>
      </c>
      <c r="B9" t="n">
        <v>0.8333333333333334</v>
      </c>
      <c r="C9" t="n">
        <v>1.333333333333333</v>
      </c>
      <c r="D9" t="n">
        <v>1.55</v>
      </c>
    </row>
    <row r="10">
      <c r="A10" t="n">
        <v>9</v>
      </c>
      <c r="B10" t="n">
        <v>0.8666666666666667</v>
      </c>
      <c r="C10" t="n">
        <v>1.366666666666667</v>
      </c>
      <c r="D10" t="n">
        <v>1.6</v>
      </c>
    </row>
    <row r="11">
      <c r="A11" t="n">
        <v>10</v>
      </c>
      <c r="B11" t="n">
        <v>0.9</v>
      </c>
      <c r="C11" t="n">
        <v>1.4</v>
      </c>
      <c r="D11" t="n">
        <v>1.65</v>
      </c>
    </row>
    <row r="12">
      <c r="A12" t="n">
        <v>11</v>
      </c>
      <c r="B12" t="n">
        <v>0.9333333333333333</v>
      </c>
      <c r="C12" t="n">
        <v>1.433333333333333</v>
      </c>
      <c r="D12" t="n">
        <v>1.7</v>
      </c>
    </row>
    <row r="13">
      <c r="A13" t="n">
        <v>12</v>
      </c>
      <c r="B13" t="n">
        <v>0.9666666666666667</v>
      </c>
      <c r="C13" t="n">
        <v>1.466666666666667</v>
      </c>
      <c r="D13" t="n">
        <v>1.75</v>
      </c>
    </row>
    <row r="14">
      <c r="A14" t="n">
        <v>13</v>
      </c>
      <c r="B14" t="n">
        <v>1</v>
      </c>
      <c r="C14" t="n">
        <v>1.5</v>
      </c>
      <c r="D14" t="n">
        <v>1.8</v>
      </c>
    </row>
    <row r="15">
      <c r="A15" t="n">
        <v>14</v>
      </c>
      <c r="B15" t="n">
        <v>1.016666666666667</v>
      </c>
      <c r="C15" t="n">
        <v>1.533333333333333</v>
      </c>
      <c r="D15" t="n">
        <v>1.85</v>
      </c>
    </row>
    <row r="16">
      <c r="A16" t="n">
        <v>15</v>
      </c>
      <c r="B16" t="n">
        <v>1.033333333333333</v>
      </c>
      <c r="C16" t="n">
        <v>1.566666666666667</v>
      </c>
      <c r="D16" t="n">
        <v>1.9</v>
      </c>
    </row>
    <row r="17">
      <c r="A17" t="n">
        <v>16</v>
      </c>
      <c r="B17" t="n">
        <v>1.05</v>
      </c>
      <c r="C17" t="n">
        <v>1.6</v>
      </c>
      <c r="D17" t="n">
        <v>1.95</v>
      </c>
    </row>
    <row r="18">
      <c r="A18" t="n">
        <v>17</v>
      </c>
      <c r="B18" t="n">
        <v>1.066666666666667</v>
      </c>
      <c r="C18" t="n">
        <v>1.633333333333333</v>
      </c>
      <c r="D18" t="n">
        <v>2</v>
      </c>
    </row>
    <row r="19">
      <c r="A19" t="n">
        <v>18</v>
      </c>
      <c r="B19" t="n">
        <v>1.083333333333333</v>
      </c>
      <c r="C19" t="n">
        <v>1.666666666666667</v>
      </c>
      <c r="D19" t="n">
        <v>2.05</v>
      </c>
    </row>
    <row r="20">
      <c r="A20" t="n">
        <v>19</v>
      </c>
      <c r="B20" t="n">
        <v>1.1</v>
      </c>
      <c r="C20" t="n">
        <v>1.7</v>
      </c>
      <c r="D20" t="n">
        <v>2.1</v>
      </c>
    </row>
    <row r="21">
      <c r="A21" t="n">
        <v>20</v>
      </c>
      <c r="B21" t="n">
        <v>1.116666666666667</v>
      </c>
      <c r="C21" t="n">
        <v>1.733333333333333</v>
      </c>
      <c r="D21" t="n">
        <v>2.15</v>
      </c>
    </row>
    <row r="22">
      <c r="A22" t="n">
        <v>21</v>
      </c>
      <c r="B22" t="n">
        <v>1.133333333333333</v>
      </c>
      <c r="C22" t="n">
        <v>1.766666666666667</v>
      </c>
      <c r="D22" t="n">
        <v>2.2</v>
      </c>
    </row>
    <row r="23">
      <c r="A23" t="n">
        <v>22</v>
      </c>
      <c r="B23" t="n">
        <v>1.15</v>
      </c>
      <c r="C23" t="n">
        <v>1.8</v>
      </c>
      <c r="D23" t="n">
        <v>2.25</v>
      </c>
    </row>
    <row r="24">
      <c r="A24" t="n">
        <v>23</v>
      </c>
      <c r="B24" t="n">
        <v>1.166666666666667</v>
      </c>
      <c r="C24" t="n">
        <v>1.833333333333333</v>
      </c>
      <c r="D24" t="n">
        <v>2.3</v>
      </c>
    </row>
    <row r="25">
      <c r="A25" t="n">
        <v>24</v>
      </c>
      <c r="B25" t="n">
        <v>1.183333333333333</v>
      </c>
      <c r="C25" t="n">
        <v>1.866666666666666</v>
      </c>
      <c r="D25" t="n">
        <v>2.35</v>
      </c>
    </row>
    <row r="26">
      <c r="A26" t="n">
        <v>25</v>
      </c>
      <c r="B26" t="n">
        <v>1.2</v>
      </c>
      <c r="C26" t="n">
        <v>1.9</v>
      </c>
      <c r="D26" t="n">
        <v>2.4</v>
      </c>
    </row>
    <row r="27">
      <c r="A27" t="n">
        <v>26</v>
      </c>
      <c r="B27" t="n">
        <v>1.216666666666667</v>
      </c>
      <c r="C27" t="n">
        <v>1.933333333333333</v>
      </c>
      <c r="D27" t="n">
        <v>2.45</v>
      </c>
    </row>
    <row r="28">
      <c r="A28" t="n">
        <v>27</v>
      </c>
      <c r="B28" t="n">
        <v>1.233333333333333</v>
      </c>
      <c r="C28" t="n">
        <v>1.966666666666667</v>
      </c>
      <c r="D28" t="n">
        <v>2.5</v>
      </c>
    </row>
    <row r="29">
      <c r="A29" t="n">
        <v>28</v>
      </c>
      <c r="B29" t="n">
        <v>1.25</v>
      </c>
      <c r="C29" t="n">
        <v>2</v>
      </c>
      <c r="D29" t="n">
        <v>2.55</v>
      </c>
    </row>
    <row r="30">
      <c r="A30" t="n">
        <v>29</v>
      </c>
      <c r="B30" t="n">
        <v>1.266666666666667</v>
      </c>
      <c r="C30" t="n">
        <v>2.033333333333333</v>
      </c>
      <c r="D30" t="n">
        <v>2.6</v>
      </c>
    </row>
    <row r="31">
      <c r="A31" t="n">
        <v>30</v>
      </c>
      <c r="B31" t="n">
        <v>1.283333333333333</v>
      </c>
      <c r="C31" t="n">
        <v>2.066666666666667</v>
      </c>
      <c r="D31" t="n">
        <v>2.65</v>
      </c>
    </row>
    <row r="32">
      <c r="A32" t="n">
        <v>31</v>
      </c>
      <c r="B32" t="n">
        <v>1.3</v>
      </c>
      <c r="C32" t="n">
        <v>2.1</v>
      </c>
      <c r="D32" t="n">
        <v>2.7</v>
      </c>
    </row>
    <row r="33">
      <c r="A33" t="n">
        <v>32</v>
      </c>
      <c r="B33" t="n">
        <v>1.3</v>
      </c>
      <c r="C33" t="n">
        <v>2.1</v>
      </c>
      <c r="D33" t="n">
        <v>2.7</v>
      </c>
    </row>
    <row r="34">
      <c r="A34" t="n">
        <v>33</v>
      </c>
      <c r="B34" t="n">
        <v>1.3</v>
      </c>
      <c r="C34" t="n">
        <v>2.1</v>
      </c>
      <c r="D34" t="n">
        <v>2.7</v>
      </c>
    </row>
    <row r="35">
      <c r="A35" t="n">
        <v>34</v>
      </c>
      <c r="B35" t="n">
        <v>1.3</v>
      </c>
      <c r="C35" t="n">
        <v>2.1</v>
      </c>
      <c r="D35" t="n">
        <v>2.7</v>
      </c>
    </row>
    <row r="36">
      <c r="A36" t="n">
        <v>35</v>
      </c>
      <c r="B36" t="n">
        <v>1.3</v>
      </c>
      <c r="C36" t="n">
        <v>2.1</v>
      </c>
      <c r="D36" t="n">
        <v>2.7</v>
      </c>
    </row>
    <row r="37">
      <c r="A37" t="n">
        <v>36</v>
      </c>
      <c r="B37" t="n">
        <v>1.3</v>
      </c>
      <c r="C37" t="n">
        <v>2.1</v>
      </c>
      <c r="D37" t="n">
        <v>2.7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churned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0.1956828525</v>
      </c>
      <c r="C3" t="n">
        <v>0.21595834128</v>
      </c>
      <c r="D3" t="n">
        <v>0.2389432805</v>
      </c>
    </row>
    <row r="4">
      <c r="A4" t="n">
        <v>3</v>
      </c>
      <c r="B4" t="n">
        <v>0.4007496533899306</v>
      </c>
      <c r="C4" t="n">
        <v>0.4518934624442642</v>
      </c>
      <c r="D4" t="n">
        <v>0.5042245367164517</v>
      </c>
    </row>
    <row r="5">
      <c r="A5" t="n">
        <v>4</v>
      </c>
      <c r="B5" t="n">
        <v>0.6144164412669535</v>
      </c>
      <c r="C5" t="n">
        <v>0.7062858386919635</v>
      </c>
      <c r="D5" t="n">
        <v>0.7941250943071604</v>
      </c>
    </row>
    <row r="6">
      <c r="A6" t="n">
        <v>5</v>
      </c>
      <c r="B6" t="n">
        <v>0.8359679651715495</v>
      </c>
      <c r="C6" t="n">
        <v>0.9800748562490368</v>
      </c>
      <c r="D6" t="n">
        <v>1.108104540232007</v>
      </c>
    </row>
    <row r="7">
      <c r="A7" t="n">
        <v>6</v>
      </c>
      <c r="B7" t="n">
        <v>1.064751553540678</v>
      </c>
      <c r="C7" t="n">
        <v>1.271797384589961</v>
      </c>
      <c r="D7" t="n">
        <v>1.444624592408231</v>
      </c>
    </row>
    <row r="8">
      <c r="A8" t="n">
        <v>7</v>
      </c>
      <c r="B8" t="n">
        <v>1.300171533750811</v>
      </c>
      <c r="C8" t="n">
        <v>1.580109243584091</v>
      </c>
      <c r="D8" t="n">
        <v>1.802263833747181</v>
      </c>
    </row>
    <row r="9">
      <c r="A9" t="n">
        <v>8</v>
      </c>
      <c r="B9" t="n">
        <v>1.557985160919681</v>
      </c>
      <c r="C9" t="n">
        <v>1.921240151835922</v>
      </c>
      <c r="D9" t="n">
        <v>2.197646979143589</v>
      </c>
    </row>
    <row r="10">
      <c r="A10" t="n">
        <v>9</v>
      </c>
      <c r="B10" t="n">
        <v>1.825093108882631</v>
      </c>
      <c r="C10" t="n">
        <v>2.281332573658138</v>
      </c>
      <c r="D10" t="n">
        <v>2.620286790351265</v>
      </c>
    </row>
    <row r="11">
      <c r="A11" t="n">
        <v>10</v>
      </c>
      <c r="B11" t="n">
        <v>2.100728508919842</v>
      </c>
      <c r="C11" t="n">
        <v>2.658982517586083</v>
      </c>
      <c r="D11" t="n">
        <v>3.068479444870255</v>
      </c>
    </row>
    <row r="12">
      <c r="A12" t="n">
        <v>11</v>
      </c>
      <c r="B12" t="n">
        <v>2.384191379410593</v>
      </c>
      <c r="C12" t="n">
        <v>3.057391229141527</v>
      </c>
      <c r="D12" t="n">
        <v>3.544674944628799</v>
      </c>
    </row>
    <row r="13">
      <c r="A13" t="n">
        <v>12</v>
      </c>
      <c r="B13" t="n">
        <v>2.674842667982336</v>
      </c>
      <c r="C13" t="n">
        <v>3.475029031386961</v>
      </c>
      <c r="D13" t="n">
        <v>4.047144922081448</v>
      </c>
    </row>
    <row r="14">
      <c r="A14" t="n">
        <v>13</v>
      </c>
      <c r="B14" t="n">
        <v>2.972098828363163</v>
      </c>
      <c r="C14" t="n">
        <v>3.91048977986671</v>
      </c>
      <c r="D14" t="n">
        <v>4.574290999329761</v>
      </c>
    </row>
    <row r="15">
      <c r="A15" t="n">
        <v>14</v>
      </c>
      <c r="B15" t="n">
        <v>3.376007730144421</v>
      </c>
      <c r="C15" t="n">
        <v>4.50253382103165</v>
      </c>
      <c r="D15" t="n">
        <v>5.295263492319621</v>
      </c>
    </row>
    <row r="16">
      <c r="A16" t="n">
        <v>15</v>
      </c>
      <c r="B16" t="n">
        <v>3.779746477723501</v>
      </c>
      <c r="C16" t="n">
        <v>5.113993728955752</v>
      </c>
      <c r="D16" t="n">
        <v>6.047568400661685</v>
      </c>
    </row>
    <row r="17">
      <c r="A17" t="n">
        <v>16</v>
      </c>
      <c r="B17" t="n">
        <v>4.183705101500357</v>
      </c>
      <c r="C17" t="n">
        <v>5.74440639645522</v>
      </c>
      <c r="D17" t="n">
        <v>6.830717254764715</v>
      </c>
    </row>
    <row r="18">
      <c r="A18" t="n">
        <v>17</v>
      </c>
      <c r="B18" t="n">
        <v>4.588237845904482</v>
      </c>
      <c r="C18" t="n">
        <v>6.393343209488775</v>
      </c>
      <c r="D18" t="n">
        <v>7.644258175292066</v>
      </c>
    </row>
    <row r="19">
      <c r="A19" t="n">
        <v>18</v>
      </c>
      <c r="B19" t="n">
        <v>4.993666414283542</v>
      </c>
      <c r="C19" t="n">
        <v>7.060407252979896</v>
      </c>
      <c r="D19" t="n">
        <v>8.487772976395407</v>
      </c>
    </row>
    <row r="20">
      <c r="A20" t="n">
        <v>19</v>
      </c>
      <c r="B20" t="n">
        <v>5.40028292075036</v>
      </c>
      <c r="C20" t="n">
        <v>7.745230748199827</v>
      </c>
      <c r="D20" t="n">
        <v>9.3608745011664</v>
      </c>
    </row>
    <row r="21">
      <c r="A21" t="n">
        <v>20</v>
      </c>
      <c r="B21" t="n">
        <v>5.876857207886952</v>
      </c>
      <c r="C21" t="n">
        <v>8.509776413492293</v>
      </c>
      <c r="D21" t="n">
        <v>10.32122101642386</v>
      </c>
    </row>
    <row r="22">
      <c r="A22" t="n">
        <v>21</v>
      </c>
      <c r="B22" t="n">
        <v>6.34758824420975</v>
      </c>
      <c r="C22" t="n">
        <v>9.283452372477823</v>
      </c>
      <c r="D22" t="n">
        <v>11.3038166198905</v>
      </c>
    </row>
    <row r="23">
      <c r="A23" t="n">
        <v>22</v>
      </c>
      <c r="B23" t="n">
        <v>6.813306520321433</v>
      </c>
      <c r="C23" t="n">
        <v>10.06648952179265</v>
      </c>
      <c r="D23" t="n">
        <v>12.30871841989221</v>
      </c>
    </row>
    <row r="24">
      <c r="A24" t="n">
        <v>23</v>
      </c>
      <c r="B24" t="n">
        <v>7.274768034520031</v>
      </c>
      <c r="C24" t="n">
        <v>10.8540575105954</v>
      </c>
      <c r="D24" t="n">
        <v>13.33125414743846</v>
      </c>
    </row>
    <row r="25">
      <c r="A25" t="n">
        <v>24</v>
      </c>
      <c r="B25" t="n">
        <v>7.732660994757811</v>
      </c>
      <c r="C25" t="n">
        <v>11.64663270233004</v>
      </c>
      <c r="D25" t="n">
        <v>14.37167776318763</v>
      </c>
    </row>
    <row r="26">
      <c r="A26" t="n">
        <v>25</v>
      </c>
      <c r="B26" t="n">
        <v>8.187611916996731</v>
      </c>
      <c r="C26" t="n">
        <v>12.44464981951598</v>
      </c>
      <c r="D26" t="n">
        <v>15.43022132018238</v>
      </c>
    </row>
    <row r="27">
      <c r="A27" t="n">
        <v>26</v>
      </c>
      <c r="B27" t="n">
        <v>8.713699571590293</v>
      </c>
      <c r="C27" t="n">
        <v>13.31550910402175</v>
      </c>
      <c r="D27" t="n">
        <v>16.57090734937829</v>
      </c>
    </row>
    <row r="28">
      <c r="A28" t="n">
        <v>27</v>
      </c>
      <c r="B28" t="n">
        <v>9.225118597393692</v>
      </c>
      <c r="C28" t="n">
        <v>14.17354524283244</v>
      </c>
      <c r="D28" t="n">
        <v>17.70712874093344</v>
      </c>
    </row>
    <row r="29">
      <c r="A29" t="n">
        <v>28</v>
      </c>
      <c r="B29" t="n">
        <v>9.723145687715478</v>
      </c>
      <c r="C29" t="n">
        <v>15.01983695523393</v>
      </c>
      <c r="D29" t="n">
        <v>18.83953123679938</v>
      </c>
    </row>
    <row r="30">
      <c r="A30" t="n">
        <v>29</v>
      </c>
      <c r="B30" t="n">
        <v>10.20894390487135</v>
      </c>
      <c r="C30" t="n">
        <v>15.85042738272069</v>
      </c>
      <c r="D30" t="n">
        <v>19.96404857016125</v>
      </c>
    </row>
    <row r="31">
      <c r="A31" t="n">
        <v>30</v>
      </c>
      <c r="B31" t="n">
        <v>10.68357287550224</v>
      </c>
      <c r="C31" t="n">
        <v>16.66658177057397</v>
      </c>
      <c r="D31" t="n">
        <v>21.08151209098784</v>
      </c>
    </row>
    <row r="32">
      <c r="A32" t="n">
        <v>31</v>
      </c>
      <c r="B32" t="n">
        <v>11.14799806854091</v>
      </c>
      <c r="C32" t="n">
        <v>17.46946065187818</v>
      </c>
      <c r="D32" t="n">
        <v>22.19268287407221</v>
      </c>
    </row>
    <row r="33">
      <c r="A33" t="n">
        <v>32</v>
      </c>
      <c r="B33" t="n">
        <v>11.68147815344406</v>
      </c>
      <c r="C33" t="n">
        <v>18.33142685890362</v>
      </c>
      <c r="D33" t="n">
        <v>23.36739089229978</v>
      </c>
    </row>
    <row r="34">
      <c r="A34" t="n">
        <v>33</v>
      </c>
      <c r="B34" t="n">
        <v>12.19302309290495</v>
      </c>
      <c r="C34" t="n">
        <v>19.16798296657304</v>
      </c>
      <c r="D34" t="n">
        <v>24.52343241399479</v>
      </c>
    </row>
    <row r="35">
      <c r="A35" t="n">
        <v>34</v>
      </c>
      <c r="B35" t="n">
        <v>12.68449258627649</v>
      </c>
      <c r="C35" t="n">
        <v>19.98106719407633</v>
      </c>
      <c r="D35" t="n">
        <v>25.6622812351601</v>
      </c>
    </row>
    <row r="36">
      <c r="A36" t="n">
        <v>35</v>
      </c>
      <c r="B36" t="n">
        <v>13.15758241896245</v>
      </c>
      <c r="C36" t="n">
        <v>20.76773746108578</v>
      </c>
      <c r="D36" t="n">
        <v>26.78085168689044</v>
      </c>
    </row>
    <row r="37">
      <c r="A37" t="n">
        <v>36</v>
      </c>
      <c r="B37" t="n">
        <v>13.61383911819647</v>
      </c>
      <c r="C37" t="n">
        <v>21.52996521743005</v>
      </c>
      <c r="D37" t="n">
        <v>27.88066474740544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end_logos</t>
        </is>
      </c>
    </row>
    <row r="2">
      <c r="A2" t="n">
        <v>1</v>
      </c>
      <c r="B2" t="n">
        <v>2.85</v>
      </c>
      <c r="C2" t="n">
        <v>4.84</v>
      </c>
      <c r="D2" t="n">
        <v>7.09</v>
      </c>
    </row>
    <row r="3">
      <c r="A3" t="n">
        <v>2</v>
      </c>
      <c r="B3" t="n">
        <v>5.8793171475</v>
      </c>
      <c r="C3" t="n">
        <v>10.26404165872</v>
      </c>
      <c r="D3" t="n">
        <v>15.1760567195</v>
      </c>
    </row>
    <row r="4">
      <c r="A4" t="n">
        <v>3</v>
      </c>
      <c r="B4" t="n">
        <v>9.07856749411007</v>
      </c>
      <c r="C4" t="n">
        <v>16.25214819627573</v>
      </c>
      <c r="D4" t="n">
        <v>24.23183218278355</v>
      </c>
    </row>
    <row r="5">
      <c r="A5" t="n">
        <v>4</v>
      </c>
      <c r="B5" t="n">
        <v>12.43915105284312</v>
      </c>
      <c r="C5" t="n">
        <v>22.8391956909171</v>
      </c>
      <c r="D5" t="n">
        <v>34.26437375514305</v>
      </c>
    </row>
    <row r="6">
      <c r="A6" t="n">
        <v>5</v>
      </c>
      <c r="B6" t="n">
        <v>15.95318308767157</v>
      </c>
      <c r="C6" t="n">
        <v>30.00578750133474</v>
      </c>
      <c r="D6" t="n">
        <v>45.24960254824438</v>
      </c>
    </row>
    <row r="7">
      <c r="A7" t="n">
        <v>6</v>
      </c>
      <c r="B7" t="n">
        <v>19.61343153413089</v>
      </c>
      <c r="C7" t="n">
        <v>37.73399011674477</v>
      </c>
      <c r="D7" t="n">
        <v>57.16497795583614</v>
      </c>
    </row>
    <row r="8">
      <c r="A8" t="n">
        <v>7</v>
      </c>
      <c r="B8" t="n">
        <v>23.65492666704674</v>
      </c>
      <c r="C8" t="n">
        <v>46.41388087316068</v>
      </c>
      <c r="D8" t="n">
        <v>70.54271412208895</v>
      </c>
    </row>
    <row r="9">
      <c r="A9" t="n">
        <v>8</v>
      </c>
      <c r="B9" t="n">
        <v>27.88860817279373</v>
      </c>
      <c r="C9" t="n">
        <v>55.74597405465809</v>
      </c>
      <c r="D9" t="n">
        <v>85.09506714294537</v>
      </c>
    </row>
    <row r="10">
      <c r="A10" t="n">
        <v>9</v>
      </c>
      <c r="B10" t="n">
        <v>32.30518173057776</v>
      </c>
      <c r="C10" t="n">
        <v>65.71130814766663</v>
      </c>
      <c r="D10" t="n">
        <v>100.7947803525941</v>
      </c>
    </row>
    <row r="11">
      <c r="A11" t="n">
        <v>10</v>
      </c>
      <c r="B11" t="n">
        <v>36.89611988832459</v>
      </c>
      <c r="C11" t="n">
        <v>76.39899229674721</v>
      </c>
      <c r="D11" t="n">
        <v>117.7429675743905</v>
      </c>
    </row>
    <row r="12">
      <c r="A12" t="n">
        <v>11</v>
      </c>
      <c r="B12" t="n">
        <v>41.65359517558066</v>
      </c>
      <c r="C12" t="n">
        <v>87.78826773427234</v>
      </c>
      <c r="D12" t="n">
        <v>135.911625963095</v>
      </c>
    </row>
    <row r="13">
      <c r="A13" t="n">
        <v>12</v>
      </c>
      <c r="B13" t="n">
        <v>46.57041917426499</v>
      </c>
      <c r="C13" t="n">
        <v>99.85990536955204</v>
      </c>
      <c r="D13" t="n">
        <v>155.2744810410136</v>
      </c>
    </row>
    <row r="14">
      <c r="A14" t="n">
        <v>13</v>
      </c>
      <c r="B14" t="n">
        <v>53.15832034590183</v>
      </c>
      <c r="C14" t="n">
        <v>115.9894155896853</v>
      </c>
      <c r="D14" t="n">
        <v>181.2868567083505</v>
      </c>
    </row>
    <row r="15">
      <c r="A15" t="n">
        <v>14</v>
      </c>
      <c r="B15" t="n">
        <v>59.8298126157574</v>
      </c>
      <c r="C15" t="n">
        <v>132.9624373242092</v>
      </c>
      <c r="D15" t="n">
        <v>208.9132598826976</v>
      </c>
    </row>
    <row r="16">
      <c r="A16" t="n">
        <v>15</v>
      </c>
      <c r="B16" t="n">
        <v>66.5900661380339</v>
      </c>
      <c r="C16" t="n">
        <v>150.7817769285868</v>
      </c>
      <c r="D16" t="n">
        <v>238.1656914820359</v>
      </c>
    </row>
    <row r="17">
      <c r="A17" t="n">
        <v>16</v>
      </c>
      <c r="B17" t="n">
        <v>73.44386103653355</v>
      </c>
      <c r="C17" t="n">
        <v>169.4507038654649</v>
      </c>
      <c r="D17" t="n">
        <v>269.0566408939378</v>
      </c>
    </row>
    <row r="18">
      <c r="A18" t="n">
        <v>17</v>
      </c>
      <c r="B18" t="n">
        <v>80.39562319062907</v>
      </c>
      <c r="C18" t="n">
        <v>188.9729162115317</v>
      </c>
      <c r="D18" t="n">
        <v>301.5990493853124</v>
      </c>
    </row>
    <row r="19">
      <c r="A19" t="n">
        <v>18</v>
      </c>
      <c r="B19" t="n">
        <v>87.44945677634553</v>
      </c>
      <c r="C19" t="n">
        <v>209.3525089585518</v>
      </c>
      <c r="D19" t="n">
        <v>335.806276408917</v>
      </c>
    </row>
    <row r="20">
      <c r="A20" t="n">
        <v>19</v>
      </c>
      <c r="B20" t="n">
        <v>95.6625071889285</v>
      </c>
      <c r="C20" t="n">
        <v>232.167278210352</v>
      </c>
      <c r="D20" t="n">
        <v>373.6354019077506</v>
      </c>
    </row>
    <row r="21">
      <c r="A21" t="n">
        <v>20</v>
      </c>
      <c r="B21" t="n">
        <v>103.8859277588193</v>
      </c>
      <c r="C21" t="n">
        <v>255.690835130193</v>
      </c>
      <c r="D21" t="n">
        <v>412.9891808913267</v>
      </c>
    </row>
    <row r="22">
      <c r="A22" t="n">
        <v>21</v>
      </c>
      <c r="B22" t="n">
        <v>112.1300061812762</v>
      </c>
      <c r="C22" t="n">
        <v>279.9340494243819</v>
      </c>
      <c r="D22" t="n">
        <v>453.8853642714362</v>
      </c>
    </row>
    <row r="23">
      <c r="A23" t="n">
        <v>22</v>
      </c>
      <c r="B23" t="n">
        <v>120.4041996609548</v>
      </c>
      <c r="C23" t="n">
        <v>304.7775599025892</v>
      </c>
      <c r="D23" t="n">
        <v>496.1799791848774</v>
      </c>
    </row>
    <row r="24">
      <c r="A24" t="n">
        <v>23</v>
      </c>
      <c r="B24" t="n">
        <v>128.7172094042126</v>
      </c>
      <c r="C24" t="n">
        <v>330.2346135031049</v>
      </c>
      <c r="D24" t="n">
        <v>539.8920583707722</v>
      </c>
    </row>
    <row r="25">
      <c r="A25" t="n">
        <v>24</v>
      </c>
      <c r="B25" t="n">
        <v>137.0770484094547</v>
      </c>
      <c r="C25" t="n">
        <v>356.3179808007749</v>
      </c>
      <c r="D25" t="n">
        <v>585.0403806075847</v>
      </c>
    </row>
    <row r="26">
      <c r="A26" t="n">
        <v>25</v>
      </c>
      <c r="B26" t="n">
        <v>146.6427698257913</v>
      </c>
      <c r="C26" t="n">
        <v>384.8066643145922</v>
      </c>
      <c r="D26" t="n">
        <v>633.8768259540689</v>
      </c>
    </row>
    <row r="27">
      <c r="A27" t="n">
        <v>26</v>
      </c>
      <c r="B27" t="n">
        <v>156.0874035875344</v>
      </c>
      <c r="C27" t="n">
        <v>413.4911552105705</v>
      </c>
      <c r="D27" t="n">
        <v>683.439251938024</v>
      </c>
    </row>
    <row r="28">
      <c r="A28" t="n">
        <v>27</v>
      </c>
      <c r="B28" t="n">
        <v>165.425618323474</v>
      </c>
      <c r="C28" t="n">
        <v>442.3842766344047</v>
      </c>
      <c r="D28" t="n">
        <v>733.7321231970906</v>
      </c>
    </row>
    <row r="29">
      <c r="A29" t="n">
        <v>28</v>
      </c>
      <c r="B29" t="n">
        <v>174.6708059690919</v>
      </c>
      <c r="C29" t="n">
        <v>471.3644396791708</v>
      </c>
      <c r="D29" t="n">
        <v>784.5925919602911</v>
      </c>
    </row>
    <row r="30">
      <c r="A30" t="n">
        <v>29</v>
      </c>
      <c r="B30" t="n">
        <v>183.8351953975539</v>
      </c>
      <c r="C30" t="n">
        <v>500.4473456297835</v>
      </c>
      <c r="D30" t="n">
        <v>836.0285433901299</v>
      </c>
    </row>
    <row r="31">
      <c r="A31" t="n">
        <v>30</v>
      </c>
      <c r="B31" t="n">
        <v>192.929955855385</v>
      </c>
      <c r="C31" t="n">
        <v>529.6474305258762</v>
      </c>
      <c r="D31" t="n">
        <v>888.0470312991421</v>
      </c>
    </row>
    <row r="32">
      <c r="A32" t="n">
        <v>31</v>
      </c>
      <c r="B32" t="n">
        <v>203.2169577868441</v>
      </c>
      <c r="C32" t="n">
        <v>560.9446365406646</v>
      </c>
      <c r="D32" t="n">
        <v>943.1876817584032</v>
      </c>
    </row>
    <row r="33">
      <c r="A33" t="n">
        <v>32</v>
      </c>
      <c r="B33" t="n">
        <v>213.2604796334</v>
      </c>
      <c r="C33" t="n">
        <v>592.0465430150944</v>
      </c>
      <c r="D33" t="n">
        <v>998.48695753277</v>
      </c>
    </row>
    <row r="34">
      <c r="A34" t="n">
        <v>33</v>
      </c>
      <c r="B34" t="n">
        <v>223.082456540495</v>
      </c>
      <c r="C34" t="n">
        <v>622.9785600485213</v>
      </c>
      <c r="D34" t="n">
        <v>1053.963525118775</v>
      </c>
    </row>
    <row r="35">
      <c r="A35" t="n">
        <v>34</v>
      </c>
      <c r="B35" t="n">
        <v>232.7029639542185</v>
      </c>
      <c r="C35" t="n">
        <v>653.6308261877783</v>
      </c>
      <c r="D35" t="n">
        <v>1109.467910550282</v>
      </c>
    </row>
    <row r="36">
      <c r="A36" t="n">
        <v>35</v>
      </c>
      <c r="B36" t="n">
        <v>242.1403815352561</v>
      </c>
      <c r="C36" t="n">
        <v>684.0297553933592</v>
      </c>
      <c r="D36" t="n">
        <v>1165.020392196725</v>
      </c>
    </row>
    <row r="37">
      <c r="A37" t="n">
        <v>36</v>
      </c>
      <c r="B37" t="n">
        <v>251.4115424170596</v>
      </c>
      <c r="C37" t="n">
        <v>714.1997901759291</v>
      </c>
      <c r="D37" t="n">
        <v>1220.639727449319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end_seats</t>
        </is>
      </c>
    </row>
    <row r="2">
      <c r="A2" t="n">
        <v>1</v>
      </c>
      <c r="B2" t="n">
        <v>34.2</v>
      </c>
      <c r="C2" t="n">
        <v>58.08</v>
      </c>
      <c r="D2" t="n">
        <v>85.08</v>
      </c>
    </row>
    <row r="3">
      <c r="A3" t="n">
        <v>2</v>
      </c>
      <c r="B3" t="n">
        <v>70.88283717041786</v>
      </c>
      <c r="C3" t="n">
        <v>125.0007514385901</v>
      </c>
      <c r="D3" t="n">
        <v>185.5951405069928</v>
      </c>
    </row>
    <row r="4">
      <c r="A4" t="n">
        <v>3</v>
      </c>
      <c r="B4" t="n">
        <v>109.9524354406036</v>
      </c>
      <c r="C4" t="n">
        <v>200.8282054545815</v>
      </c>
      <c r="D4" t="n">
        <v>301.9124623735964</v>
      </c>
    </row>
    <row r="5">
      <c r="A5" t="n">
        <v>4</v>
      </c>
      <c r="B5" t="n">
        <v>151.3209016037902</v>
      </c>
      <c r="C5" t="n">
        <v>286.3007933057808</v>
      </c>
      <c r="D5" t="n">
        <v>434.8078708111301</v>
      </c>
    </row>
    <row r="6">
      <c r="A6" t="n">
        <v>5</v>
      </c>
      <c r="B6" t="n">
        <v>194.9078524448823</v>
      </c>
      <c r="C6" t="n">
        <v>381.5011730070866</v>
      </c>
      <c r="D6" t="n">
        <v>584.6807013389931</v>
      </c>
    </row>
    <row r="7">
      <c r="A7" t="n">
        <v>6</v>
      </c>
      <c r="B7" t="n">
        <v>240.6397977026738</v>
      </c>
      <c r="C7" t="n">
        <v>486.5217607418285</v>
      </c>
      <c r="D7" t="n">
        <v>751.9429098850403</v>
      </c>
    </row>
    <row r="8">
      <c r="A8" t="n">
        <v>7</v>
      </c>
      <c r="B8" t="n">
        <v>291.3910027924944</v>
      </c>
      <c r="C8" t="n">
        <v>606.6928217749672</v>
      </c>
      <c r="D8" t="n">
        <v>944.2280361929638</v>
      </c>
    </row>
    <row r="9">
      <c r="A9" t="n">
        <v>8</v>
      </c>
      <c r="B9" t="n">
        <v>344.9027550432663</v>
      </c>
      <c r="C9" t="n">
        <v>738.6424292588083</v>
      </c>
      <c r="D9" t="n">
        <v>1158.803139306109</v>
      </c>
    </row>
    <row r="10">
      <c r="A10" t="n">
        <v>9</v>
      </c>
      <c r="B10" t="n">
        <v>401.0815558553775</v>
      </c>
      <c r="C10" t="n">
        <v>882.4923632794277</v>
      </c>
      <c r="D10" t="n">
        <v>1396.195766724363</v>
      </c>
    </row>
    <row r="11">
      <c r="A11" t="n">
        <v>10</v>
      </c>
      <c r="B11" t="n">
        <v>459.8419098258058</v>
      </c>
      <c r="C11" t="n">
        <v>1039.791915571985</v>
      </c>
      <c r="D11" t="n">
        <v>1658.664829460355</v>
      </c>
    </row>
    <row r="12">
      <c r="A12" t="n">
        <v>11</v>
      </c>
      <c r="B12" t="n">
        <v>521.1056686041339</v>
      </c>
      <c r="C12" t="n">
        <v>1210.679022504446</v>
      </c>
      <c r="D12" t="n">
        <v>1946.799960315046</v>
      </c>
    </row>
    <row r="13">
      <c r="A13" t="n">
        <v>12</v>
      </c>
      <c r="B13" t="n">
        <v>584.8014291471355</v>
      </c>
      <c r="C13" t="n">
        <v>1395.303250029375</v>
      </c>
      <c r="D13" t="n">
        <v>2261.208102827527</v>
      </c>
    </row>
    <row r="14">
      <c r="A14" t="n">
        <v>13</v>
      </c>
      <c r="B14" t="n">
        <v>669.604553275693</v>
      </c>
      <c r="C14" t="n">
        <v>1640.362377411775</v>
      </c>
      <c r="D14" t="n">
        <v>2679.546416415486</v>
      </c>
    </row>
    <row r="15">
      <c r="A15" t="n">
        <v>14</v>
      </c>
      <c r="B15" t="n">
        <v>756.1120451225331</v>
      </c>
      <c r="C15" t="n">
        <v>1903.529723586562</v>
      </c>
      <c r="D15" t="n">
        <v>3134.911937649903</v>
      </c>
    </row>
    <row r="16">
      <c r="A16" t="n">
        <v>15</v>
      </c>
      <c r="B16" t="n">
        <v>844.3891949627931</v>
      </c>
      <c r="C16" t="n">
        <v>2185.355153152229</v>
      </c>
      <c r="D16" t="n">
        <v>3628.813907529111</v>
      </c>
    </row>
    <row r="17">
      <c r="A17" t="n">
        <v>16</v>
      </c>
      <c r="B17" t="n">
        <v>934.498206504072</v>
      </c>
      <c r="C17" t="n">
        <v>2486.403194325414</v>
      </c>
      <c r="D17" t="n">
        <v>4162.802800542044</v>
      </c>
    </row>
    <row r="18">
      <c r="A18" t="n">
        <v>17</v>
      </c>
      <c r="B18" t="n">
        <v>1026.498472828115</v>
      </c>
      <c r="C18" t="n">
        <v>2807.252989288686</v>
      </c>
      <c r="D18" t="n">
        <v>4738.470805941472</v>
      </c>
    </row>
    <row r="19">
      <c r="A19" t="n">
        <v>18</v>
      </c>
      <c r="B19" t="n">
        <v>1120.446829241868</v>
      </c>
      <c r="C19" t="n">
        <v>3148.498256308201</v>
      </c>
      <c r="D19" t="n">
        <v>5357.452321750364</v>
      </c>
    </row>
    <row r="20">
      <c r="A20" t="n">
        <v>19</v>
      </c>
      <c r="B20" t="n">
        <v>1229.57949924944</v>
      </c>
      <c r="C20" t="n">
        <v>3533.672977102081</v>
      </c>
      <c r="D20" t="n">
        <v>6050.741032493868</v>
      </c>
    </row>
    <row r="21">
      <c r="A21" t="n">
        <v>20</v>
      </c>
      <c r="B21" t="n">
        <v>1339.649151916156</v>
      </c>
      <c r="C21" t="n">
        <v>3938.792443776498</v>
      </c>
      <c r="D21" t="n">
        <v>6789.231378335538</v>
      </c>
    </row>
    <row r="22">
      <c r="A22" t="n">
        <v>21</v>
      </c>
      <c r="B22" t="n">
        <v>1450.776296187512</v>
      </c>
      <c r="C22" t="n">
        <v>4364.496336364209</v>
      </c>
      <c r="D22" t="n">
        <v>7574.632543253211</v>
      </c>
    </row>
    <row r="23">
      <c r="A23" t="n">
        <v>22</v>
      </c>
      <c r="B23" t="n">
        <v>1563.073798218965</v>
      </c>
      <c r="C23" t="n">
        <v>4809.484475035323</v>
      </c>
      <c r="D23" t="n">
        <v>8406.171821535294</v>
      </c>
    </row>
    <row r="24">
      <c r="A24" t="n">
        <v>23</v>
      </c>
      <c r="B24" t="n">
        <v>1676.647530163488</v>
      </c>
      <c r="C24" t="n">
        <v>5274.387153491376</v>
      </c>
      <c r="D24" t="n">
        <v>9285.543687859856</v>
      </c>
    </row>
    <row r="25">
      <c r="A25" t="n">
        <v>24</v>
      </c>
      <c r="B25" t="n">
        <v>1791.596964935602</v>
      </c>
      <c r="C25" t="n">
        <v>5759.842137625338</v>
      </c>
      <c r="D25" t="n">
        <v>10214.47994305934</v>
      </c>
    </row>
    <row r="26">
      <c r="A26" t="n">
        <v>25</v>
      </c>
      <c r="B26" t="n">
        <v>1922.625435736929</v>
      </c>
      <c r="C26" t="n">
        <v>6293.752122519276</v>
      </c>
      <c r="D26" t="n">
        <v>11230.73890855172</v>
      </c>
    </row>
    <row r="27">
      <c r="A27" t="n">
        <v>26</v>
      </c>
      <c r="B27" t="n">
        <v>2053.033557635847</v>
      </c>
      <c r="C27" t="n">
        <v>6843.179092557847</v>
      </c>
      <c r="D27" t="n">
        <v>12289.24036727923</v>
      </c>
    </row>
    <row r="28">
      <c r="A28" t="n">
        <v>27</v>
      </c>
      <c r="B28" t="n">
        <v>2182.980913471449</v>
      </c>
      <c r="C28" t="n">
        <v>7408.550755892296</v>
      </c>
      <c r="D28" t="n">
        <v>13391.06857735896</v>
      </c>
    </row>
    <row r="29">
      <c r="A29" t="n">
        <v>28</v>
      </c>
      <c r="B29" t="n">
        <v>2312.614666367228</v>
      </c>
      <c r="C29" t="n">
        <v>7988.176209728621</v>
      </c>
      <c r="D29" t="n">
        <v>14534.54753663274</v>
      </c>
    </row>
    <row r="30">
      <c r="A30" t="n">
        <v>29</v>
      </c>
      <c r="B30" t="n">
        <v>2442.07058722125</v>
      </c>
      <c r="C30" t="n">
        <v>8582.477657972282</v>
      </c>
      <c r="D30" t="n">
        <v>15720.7370709046</v>
      </c>
    </row>
    <row r="31">
      <c r="A31" t="n">
        <v>30</v>
      </c>
      <c r="B31" t="n">
        <v>2571.473996783841</v>
      </c>
      <c r="C31" t="n">
        <v>9191.870982884591</v>
      </c>
      <c r="D31" t="n">
        <v>16950.70610732636</v>
      </c>
    </row>
    <row r="32">
      <c r="A32" t="n">
        <v>31</v>
      </c>
      <c r="B32" t="n">
        <v>2717.033486575671</v>
      </c>
      <c r="C32" t="n">
        <v>9848.794909111739</v>
      </c>
      <c r="D32" t="n">
        <v>18268.96161810909</v>
      </c>
    </row>
    <row r="33">
      <c r="A33" t="n">
        <v>32</v>
      </c>
      <c r="B33" t="n">
        <v>2860.42245376645</v>
      </c>
      <c r="C33" t="n">
        <v>10516.93574601697</v>
      </c>
      <c r="D33" t="n">
        <v>19627.11991857183</v>
      </c>
    </row>
    <row r="34">
      <c r="A34" t="n">
        <v>33</v>
      </c>
      <c r="B34" t="n">
        <v>3001.880312106436</v>
      </c>
      <c r="C34" t="n">
        <v>11196.73644569946</v>
      </c>
      <c r="D34" t="n">
        <v>21026.20422208052</v>
      </c>
    </row>
    <row r="35">
      <c r="A35" t="n">
        <v>34</v>
      </c>
      <c r="B35" t="n">
        <v>3141.627750121166</v>
      </c>
      <c r="C35" t="n">
        <v>11886.39882302654</v>
      </c>
      <c r="D35" t="n">
        <v>22464.2980435919</v>
      </c>
    </row>
    <row r="36">
      <c r="A36" t="n">
        <v>35</v>
      </c>
      <c r="B36" t="n">
        <v>3279.868271499849</v>
      </c>
      <c r="C36" t="n">
        <v>12586.34271925972</v>
      </c>
      <c r="D36" t="n">
        <v>23942.38115465434</v>
      </c>
    </row>
    <row r="37">
      <c r="A37" t="n">
        <v>36</v>
      </c>
      <c r="B37" t="n">
        <v>3416.789607648243</v>
      </c>
      <c r="C37" t="n">
        <v>13296.97432100427</v>
      </c>
      <c r="D37" t="n">
        <v>25461.43485433887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cs_cost</t>
        </is>
      </c>
    </row>
    <row r="2">
      <c r="A2" t="n">
        <v>1</v>
      </c>
      <c r="B2" t="n">
        <v>6500</v>
      </c>
      <c r="C2" t="n">
        <v>6500</v>
      </c>
      <c r="D2" t="n">
        <v>6500</v>
      </c>
    </row>
    <row r="3">
      <c r="A3" t="n">
        <v>2</v>
      </c>
      <c r="B3" t="n">
        <v>6500</v>
      </c>
      <c r="C3" t="n">
        <v>6500</v>
      </c>
      <c r="D3" t="n">
        <v>6500</v>
      </c>
    </row>
    <row r="4">
      <c r="A4" t="n">
        <v>3</v>
      </c>
      <c r="B4" t="n">
        <v>6500</v>
      </c>
      <c r="C4" t="n">
        <v>6500</v>
      </c>
      <c r="D4" t="n">
        <v>6500</v>
      </c>
    </row>
    <row r="5">
      <c r="A5" t="n">
        <v>4</v>
      </c>
      <c r="B5" t="n">
        <v>6500</v>
      </c>
      <c r="C5" t="n">
        <v>6500</v>
      </c>
      <c r="D5" t="n">
        <v>6500</v>
      </c>
    </row>
    <row r="6">
      <c r="A6" t="n">
        <v>5</v>
      </c>
      <c r="B6" t="n">
        <v>6500</v>
      </c>
      <c r="C6" t="n">
        <v>6500</v>
      </c>
      <c r="D6" t="n">
        <v>6500</v>
      </c>
    </row>
    <row r="7">
      <c r="A7" t="n">
        <v>6</v>
      </c>
      <c r="B7" t="n">
        <v>6500</v>
      </c>
      <c r="C7" t="n">
        <v>6500</v>
      </c>
      <c r="D7" t="n">
        <v>6500</v>
      </c>
    </row>
    <row r="8">
      <c r="A8" t="n">
        <v>7</v>
      </c>
      <c r="B8" t="n">
        <v>6500</v>
      </c>
      <c r="C8" t="n">
        <v>6500</v>
      </c>
      <c r="D8" t="n">
        <v>6500</v>
      </c>
    </row>
    <row r="9">
      <c r="A9" t="n">
        <v>8</v>
      </c>
      <c r="B9" t="n">
        <v>6500</v>
      </c>
      <c r="C9" t="n">
        <v>7583.333333333333</v>
      </c>
      <c r="D9" t="n">
        <v>7583.333333333333</v>
      </c>
    </row>
    <row r="10">
      <c r="A10" t="n">
        <v>9</v>
      </c>
      <c r="B10" t="n">
        <v>6500</v>
      </c>
      <c r="C10" t="n">
        <v>8666.666666666666</v>
      </c>
      <c r="D10" t="n">
        <v>8666.666666666666</v>
      </c>
    </row>
    <row r="11">
      <c r="A11" t="n">
        <v>10</v>
      </c>
      <c r="B11" t="n">
        <v>6500</v>
      </c>
      <c r="C11" t="n">
        <v>9750</v>
      </c>
      <c r="D11" t="n">
        <v>9750</v>
      </c>
    </row>
    <row r="12">
      <c r="A12" t="n">
        <v>11</v>
      </c>
      <c r="B12" t="n">
        <v>6500</v>
      </c>
      <c r="C12" t="n">
        <v>10833.33333333333</v>
      </c>
      <c r="D12" t="n">
        <v>10833.33333333333</v>
      </c>
    </row>
    <row r="13">
      <c r="A13" t="n">
        <v>12</v>
      </c>
      <c r="B13" t="n">
        <v>6500</v>
      </c>
      <c r="C13" t="n">
        <v>11916.66666666667</v>
      </c>
      <c r="D13" t="n">
        <v>11916.66666666667</v>
      </c>
    </row>
    <row r="14">
      <c r="A14" t="n">
        <v>13</v>
      </c>
      <c r="B14" t="n">
        <v>6500</v>
      </c>
      <c r="C14" t="n">
        <v>13000</v>
      </c>
      <c r="D14" t="n">
        <v>13000</v>
      </c>
    </row>
    <row r="15">
      <c r="A15" t="n">
        <v>14</v>
      </c>
      <c r="B15" t="n">
        <v>7583.333333333333</v>
      </c>
      <c r="C15" t="n">
        <v>14083.33333333333</v>
      </c>
      <c r="D15" t="n">
        <v>14083.33333333333</v>
      </c>
    </row>
    <row r="16">
      <c r="A16" t="n">
        <v>15</v>
      </c>
      <c r="B16" t="n">
        <v>8666.666666666666</v>
      </c>
      <c r="C16" t="n">
        <v>15166.66666666667</v>
      </c>
      <c r="D16" t="n">
        <v>15166.66666666667</v>
      </c>
    </row>
    <row r="17">
      <c r="A17" t="n">
        <v>16</v>
      </c>
      <c r="B17" t="n">
        <v>9750</v>
      </c>
      <c r="C17" t="n">
        <v>16250</v>
      </c>
      <c r="D17" t="n">
        <v>16250</v>
      </c>
    </row>
    <row r="18">
      <c r="A18" t="n">
        <v>17</v>
      </c>
      <c r="B18" t="n">
        <v>10833.33333333333</v>
      </c>
      <c r="C18" t="n">
        <v>17333.33333333333</v>
      </c>
      <c r="D18" t="n">
        <v>17333.33333333333</v>
      </c>
    </row>
    <row r="19">
      <c r="A19" t="n">
        <v>18</v>
      </c>
      <c r="B19" t="n">
        <v>11916.66666666667</v>
      </c>
      <c r="C19" t="n">
        <v>18416.66666666667</v>
      </c>
      <c r="D19" t="n">
        <v>18416.66666666667</v>
      </c>
    </row>
    <row r="20">
      <c r="A20" t="n">
        <v>19</v>
      </c>
      <c r="B20" t="n">
        <v>13000</v>
      </c>
      <c r="C20" t="n">
        <v>19500</v>
      </c>
      <c r="D20" t="n">
        <v>19500</v>
      </c>
    </row>
    <row r="21">
      <c r="A21" t="n">
        <v>20</v>
      </c>
      <c r="B21" t="n">
        <v>14083.33333333333</v>
      </c>
      <c r="C21" t="n">
        <v>20583.33333333333</v>
      </c>
      <c r="D21" t="n">
        <v>20583.33333333333</v>
      </c>
    </row>
    <row r="22">
      <c r="A22" t="n">
        <v>21</v>
      </c>
      <c r="B22" t="n">
        <v>15166.66666666667</v>
      </c>
      <c r="C22" t="n">
        <v>21666.66666666667</v>
      </c>
      <c r="D22" t="n">
        <v>21666.66666666667</v>
      </c>
    </row>
    <row r="23">
      <c r="A23" t="n">
        <v>22</v>
      </c>
      <c r="B23" t="n">
        <v>16250</v>
      </c>
      <c r="C23" t="n">
        <v>22750</v>
      </c>
      <c r="D23" t="n">
        <v>22750</v>
      </c>
    </row>
    <row r="24">
      <c r="A24" t="n">
        <v>23</v>
      </c>
      <c r="B24" t="n">
        <v>17333.33333333333</v>
      </c>
      <c r="C24" t="n">
        <v>23833.33333333333</v>
      </c>
      <c r="D24" t="n">
        <v>23833.33333333333</v>
      </c>
    </row>
    <row r="25">
      <c r="A25" t="n">
        <v>24</v>
      </c>
      <c r="B25" t="n">
        <v>18416.66666666667</v>
      </c>
      <c r="C25" t="n">
        <v>24916.66666666667</v>
      </c>
      <c r="D25" t="n">
        <v>24916.66666666667</v>
      </c>
    </row>
    <row r="26">
      <c r="A26" t="n">
        <v>25</v>
      </c>
      <c r="B26" t="n">
        <v>19500</v>
      </c>
      <c r="C26" t="n">
        <v>26000</v>
      </c>
      <c r="D26" t="n">
        <v>26000</v>
      </c>
    </row>
    <row r="27">
      <c r="A27" t="n">
        <v>26</v>
      </c>
      <c r="B27" t="n">
        <v>20583.33333333333</v>
      </c>
      <c r="C27" t="n">
        <v>27083.33333333333</v>
      </c>
      <c r="D27" t="n">
        <v>27083.33333333333</v>
      </c>
    </row>
    <row r="28">
      <c r="A28" t="n">
        <v>27</v>
      </c>
      <c r="B28" t="n">
        <v>21666.66666666667</v>
      </c>
      <c r="C28" t="n">
        <v>28166.66666666667</v>
      </c>
      <c r="D28" t="n">
        <v>28166.66666666667</v>
      </c>
    </row>
    <row r="29">
      <c r="A29" t="n">
        <v>28</v>
      </c>
      <c r="B29" t="n">
        <v>22750</v>
      </c>
      <c r="C29" t="n">
        <v>29250</v>
      </c>
      <c r="D29" t="n">
        <v>29250</v>
      </c>
    </row>
    <row r="30">
      <c r="A30" t="n">
        <v>29</v>
      </c>
      <c r="B30" t="n">
        <v>23833.33333333333</v>
      </c>
      <c r="C30" t="n">
        <v>30333.33333333333</v>
      </c>
      <c r="D30" t="n">
        <v>30333.33333333333</v>
      </c>
    </row>
    <row r="31">
      <c r="A31" t="n">
        <v>30</v>
      </c>
      <c r="B31" t="n">
        <v>24916.66666666667</v>
      </c>
      <c r="C31" t="n">
        <v>31416.66666666667</v>
      </c>
      <c r="D31" t="n">
        <v>31416.66666666667</v>
      </c>
    </row>
    <row r="32">
      <c r="A32" t="n">
        <v>31</v>
      </c>
      <c r="B32" t="n">
        <v>26000</v>
      </c>
      <c r="C32" t="n">
        <v>32500</v>
      </c>
      <c r="D32" t="n">
        <v>32500</v>
      </c>
    </row>
    <row r="33">
      <c r="A33" t="n">
        <v>32</v>
      </c>
      <c r="B33" t="n">
        <v>26000</v>
      </c>
      <c r="C33" t="n">
        <v>32500</v>
      </c>
      <c r="D33" t="n">
        <v>32500</v>
      </c>
    </row>
    <row r="34">
      <c r="A34" t="n">
        <v>33</v>
      </c>
      <c r="B34" t="n">
        <v>26000</v>
      </c>
      <c r="C34" t="n">
        <v>32500</v>
      </c>
      <c r="D34" t="n">
        <v>32500</v>
      </c>
    </row>
    <row r="35">
      <c r="A35" t="n">
        <v>34</v>
      </c>
      <c r="B35" t="n">
        <v>26000</v>
      </c>
      <c r="C35" t="n">
        <v>32500</v>
      </c>
      <c r="D35" t="n">
        <v>32500</v>
      </c>
    </row>
    <row r="36">
      <c r="A36" t="n">
        <v>35</v>
      </c>
      <c r="B36" t="n">
        <v>26000</v>
      </c>
      <c r="C36" t="n">
        <v>32500</v>
      </c>
      <c r="D36" t="n">
        <v>32500</v>
      </c>
    </row>
    <row r="37">
      <c r="A37" t="n">
        <v>36</v>
      </c>
      <c r="B37" t="n">
        <v>26000</v>
      </c>
      <c r="C37" t="n">
        <v>32500</v>
      </c>
      <c r="D37" t="n">
        <v>32500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rd</t>
        </is>
      </c>
    </row>
    <row r="2">
      <c r="A2" t="n">
        <v>1</v>
      </c>
      <c r="B2" t="n">
        <v>38833.33333333334</v>
      </c>
      <c r="C2" t="n">
        <v>38833.33333333334</v>
      </c>
      <c r="D2" t="n">
        <v>38833.33333333334</v>
      </c>
    </row>
    <row r="3">
      <c r="A3" t="n">
        <v>2</v>
      </c>
      <c r="B3" t="n">
        <v>45305.55555555555</v>
      </c>
      <c r="C3" t="n">
        <v>43750</v>
      </c>
      <c r="D3" t="n">
        <v>43750</v>
      </c>
    </row>
    <row r="4">
      <c r="A4" t="n">
        <v>3</v>
      </c>
      <c r="B4" t="n">
        <v>51777.77777777778</v>
      </c>
      <c r="C4" t="n">
        <v>48666.66666666667</v>
      </c>
      <c r="D4" t="n">
        <v>48666.66666666667</v>
      </c>
    </row>
    <row r="5">
      <c r="A5" t="n">
        <v>4</v>
      </c>
      <c r="B5" t="n">
        <v>56142.85714285714</v>
      </c>
      <c r="C5" t="n">
        <v>50071.42857142858</v>
      </c>
      <c r="D5" t="n">
        <v>50071.42857142858</v>
      </c>
    </row>
    <row r="6">
      <c r="A6" t="n">
        <v>5</v>
      </c>
      <c r="B6" t="n">
        <v>60507.9365079365</v>
      </c>
      <c r="C6" t="n">
        <v>51476.19047619047</v>
      </c>
      <c r="D6" t="n">
        <v>51476.19047619047</v>
      </c>
    </row>
    <row r="7">
      <c r="A7" t="n">
        <v>6</v>
      </c>
      <c r="B7" t="n">
        <v>64873.01587301587</v>
      </c>
      <c r="C7" t="n">
        <v>52880.95238095238</v>
      </c>
      <c r="D7" t="n">
        <v>52880.95238095238</v>
      </c>
    </row>
    <row r="8">
      <c r="A8" t="n">
        <v>7</v>
      </c>
      <c r="B8" t="n">
        <v>69238.09523809524</v>
      </c>
      <c r="C8" t="n">
        <v>54285.71428571428</v>
      </c>
      <c r="D8" t="n">
        <v>54285.71428571428</v>
      </c>
    </row>
    <row r="9">
      <c r="A9" t="n">
        <v>8</v>
      </c>
      <c r="B9" t="n">
        <v>72825.39682539683</v>
      </c>
      <c r="C9" t="n">
        <v>56468.25396825397</v>
      </c>
      <c r="D9" t="n">
        <v>56468.25396825397</v>
      </c>
    </row>
    <row r="10">
      <c r="A10" t="n">
        <v>9</v>
      </c>
      <c r="B10" t="n">
        <v>76412.69841269842</v>
      </c>
      <c r="C10" t="n">
        <v>58650.79365079365</v>
      </c>
      <c r="D10" t="n">
        <v>58650.79365079365</v>
      </c>
    </row>
    <row r="11">
      <c r="A11" t="n">
        <v>10</v>
      </c>
      <c r="B11" t="n">
        <v>80000</v>
      </c>
      <c r="C11" t="n">
        <v>60833.33333333333</v>
      </c>
      <c r="D11" t="n">
        <v>60833.33333333333</v>
      </c>
    </row>
    <row r="12">
      <c r="A12" t="n">
        <v>11</v>
      </c>
      <c r="B12" t="n">
        <v>82962.96296296296</v>
      </c>
      <c r="C12" t="n">
        <v>63796.2962962963</v>
      </c>
      <c r="D12" t="n">
        <v>63796.2962962963</v>
      </c>
    </row>
    <row r="13">
      <c r="A13" t="n">
        <v>12</v>
      </c>
      <c r="B13" t="n">
        <v>85925.92592592593</v>
      </c>
      <c r="C13" t="n">
        <v>66759.25925925927</v>
      </c>
      <c r="D13" t="n">
        <v>66759.25925925927</v>
      </c>
    </row>
    <row r="14">
      <c r="A14" t="n">
        <v>13</v>
      </c>
      <c r="B14" t="n">
        <v>88888.88888888889</v>
      </c>
      <c r="C14" t="n">
        <v>69722.22222222222</v>
      </c>
      <c r="D14" t="n">
        <v>69722.22222222222</v>
      </c>
    </row>
    <row r="15">
      <c r="A15" t="n">
        <v>14</v>
      </c>
      <c r="B15" t="n">
        <v>91851.85185185185</v>
      </c>
      <c r="C15" t="n">
        <v>72685.1851851852</v>
      </c>
      <c r="D15" t="n">
        <v>72685.1851851852</v>
      </c>
    </row>
    <row r="16">
      <c r="A16" t="n">
        <v>15</v>
      </c>
      <c r="B16" t="n">
        <v>94814.8148148148</v>
      </c>
      <c r="C16" t="n">
        <v>75648.14814814815</v>
      </c>
      <c r="D16" t="n">
        <v>75648.14814814815</v>
      </c>
    </row>
    <row r="17">
      <c r="A17" t="n">
        <v>16</v>
      </c>
      <c r="B17" t="n">
        <v>97777.77777777778</v>
      </c>
      <c r="C17" t="n">
        <v>78611.11111111111</v>
      </c>
      <c r="D17" t="n">
        <v>78611.11111111111</v>
      </c>
    </row>
    <row r="18">
      <c r="A18" t="n">
        <v>17</v>
      </c>
      <c r="B18" t="n">
        <v>100740.7407407407</v>
      </c>
      <c r="C18" t="n">
        <v>81574.07407407407</v>
      </c>
      <c r="D18" t="n">
        <v>81574.07407407407</v>
      </c>
    </row>
    <row r="19">
      <c r="A19" t="n">
        <v>18</v>
      </c>
      <c r="B19" t="n">
        <v>103703.7037037037</v>
      </c>
      <c r="C19" t="n">
        <v>84537.03703703704</v>
      </c>
      <c r="D19" t="n">
        <v>84537.03703703704</v>
      </c>
    </row>
    <row r="20">
      <c r="A20" t="n">
        <v>19</v>
      </c>
      <c r="B20" t="n">
        <v>106666.6666666667</v>
      </c>
      <c r="C20" t="n">
        <v>87500</v>
      </c>
      <c r="D20" t="n">
        <v>87500</v>
      </c>
    </row>
    <row r="21">
      <c r="A21" t="n">
        <v>20</v>
      </c>
      <c r="B21" t="n">
        <v>110722.2222222222</v>
      </c>
      <c r="C21" t="n">
        <v>91555.55555555556</v>
      </c>
      <c r="D21" t="n">
        <v>91555.55555555556</v>
      </c>
    </row>
    <row r="22">
      <c r="A22" t="n">
        <v>21</v>
      </c>
      <c r="B22" t="n">
        <v>114777.7777777778</v>
      </c>
      <c r="C22" t="n">
        <v>95611.11111111111</v>
      </c>
      <c r="D22" t="n">
        <v>95611.11111111111</v>
      </c>
    </row>
    <row r="23">
      <c r="A23" t="n">
        <v>22</v>
      </c>
      <c r="B23" t="n">
        <v>118833.3333333333</v>
      </c>
      <c r="C23" t="n">
        <v>99666.66666666667</v>
      </c>
      <c r="D23" t="n">
        <v>99666.66666666667</v>
      </c>
    </row>
    <row r="24">
      <c r="A24" t="n">
        <v>23</v>
      </c>
      <c r="B24" t="n">
        <v>122888.8888888889</v>
      </c>
      <c r="C24" t="n">
        <v>103722.2222222222</v>
      </c>
      <c r="D24" t="n">
        <v>103722.2222222222</v>
      </c>
    </row>
    <row r="25">
      <c r="A25" t="n">
        <v>24</v>
      </c>
      <c r="B25" t="n">
        <v>126944.4444444444</v>
      </c>
      <c r="C25" t="n">
        <v>107777.7777777778</v>
      </c>
      <c r="D25" t="n">
        <v>107777.7777777778</v>
      </c>
    </row>
    <row r="26">
      <c r="A26" t="n">
        <v>25</v>
      </c>
      <c r="B26" t="n">
        <v>131000</v>
      </c>
      <c r="C26" t="n">
        <v>111833.3333333333</v>
      </c>
      <c r="D26" t="n">
        <v>111833.3333333333</v>
      </c>
    </row>
    <row r="27">
      <c r="A27" t="n">
        <v>26</v>
      </c>
      <c r="B27" t="n">
        <v>135055.5555555556</v>
      </c>
      <c r="C27" t="n">
        <v>115888.8888888889</v>
      </c>
      <c r="D27" t="n">
        <v>115888.8888888889</v>
      </c>
    </row>
    <row r="28">
      <c r="A28" t="n">
        <v>27</v>
      </c>
      <c r="B28" t="n">
        <v>139111.1111111111</v>
      </c>
      <c r="C28" t="n">
        <v>119944.4444444444</v>
      </c>
      <c r="D28" t="n">
        <v>119944.4444444444</v>
      </c>
    </row>
    <row r="29">
      <c r="A29" t="n">
        <v>28</v>
      </c>
      <c r="B29" t="n">
        <v>143166.6666666667</v>
      </c>
      <c r="C29" t="n">
        <v>124000</v>
      </c>
      <c r="D29" t="n">
        <v>124000</v>
      </c>
    </row>
    <row r="30">
      <c r="A30" t="n">
        <v>29</v>
      </c>
      <c r="B30" t="n">
        <v>147222.2222222222</v>
      </c>
      <c r="C30" t="n">
        <v>128055.5555555556</v>
      </c>
      <c r="D30" t="n">
        <v>128055.5555555556</v>
      </c>
    </row>
    <row r="31">
      <c r="A31" t="n">
        <v>30</v>
      </c>
      <c r="B31" t="n">
        <v>151277.7777777778</v>
      </c>
      <c r="C31" t="n">
        <v>132111.1111111111</v>
      </c>
      <c r="D31" t="n">
        <v>132111.1111111111</v>
      </c>
    </row>
    <row r="32">
      <c r="A32" t="n">
        <v>31</v>
      </c>
      <c r="B32" t="n">
        <v>155333.3333333333</v>
      </c>
      <c r="C32" t="n">
        <v>136166.6666666667</v>
      </c>
      <c r="D32" t="n">
        <v>136166.6666666667</v>
      </c>
    </row>
    <row r="33">
      <c r="A33" t="n">
        <v>32</v>
      </c>
      <c r="B33" t="n">
        <v>155333.3333333333</v>
      </c>
      <c r="C33" t="n">
        <v>136166.6666666667</v>
      </c>
      <c r="D33" t="n">
        <v>136166.6666666667</v>
      </c>
    </row>
    <row r="34">
      <c r="A34" t="n">
        <v>33</v>
      </c>
      <c r="B34" t="n">
        <v>155333.3333333333</v>
      </c>
      <c r="C34" t="n">
        <v>136166.6666666667</v>
      </c>
      <c r="D34" t="n">
        <v>136166.6666666667</v>
      </c>
    </row>
    <row r="35">
      <c r="A35" t="n">
        <v>34</v>
      </c>
      <c r="B35" t="n">
        <v>155333.3333333333</v>
      </c>
      <c r="C35" t="n">
        <v>136166.6666666667</v>
      </c>
      <c r="D35" t="n">
        <v>136166.6666666667</v>
      </c>
    </row>
    <row r="36">
      <c r="A36" t="n">
        <v>35</v>
      </c>
      <c r="B36" t="n">
        <v>155333.3333333333</v>
      </c>
      <c r="C36" t="n">
        <v>136166.6666666667</v>
      </c>
      <c r="D36" t="n">
        <v>136166.6666666667</v>
      </c>
    </row>
    <row r="37">
      <c r="A37" t="n">
        <v>36</v>
      </c>
      <c r="B37" t="n">
        <v>155333.3333333333</v>
      </c>
      <c r="C37" t="n">
        <v>136166.6666666667</v>
      </c>
      <c r="D37" t="n">
        <v>136166.6666666667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sm</t>
        </is>
      </c>
    </row>
    <row r="2">
      <c r="A2" t="n">
        <v>1</v>
      </c>
      <c r="B2" t="n">
        <v>26366.66666666666</v>
      </c>
      <c r="C2" t="n">
        <v>27266.66666666666</v>
      </c>
      <c r="D2" t="n">
        <v>27696.66666666666</v>
      </c>
    </row>
    <row r="3">
      <c r="A3" t="n">
        <v>2</v>
      </c>
      <c r="B3" t="n">
        <v>31094.44444444445</v>
      </c>
      <c r="C3" t="n">
        <v>29016.66666666666</v>
      </c>
      <c r="D3" t="n">
        <v>29541.66666666666</v>
      </c>
    </row>
    <row r="4">
      <c r="A4" t="n">
        <v>3</v>
      </c>
      <c r="B4" t="n">
        <v>35822.22222222222</v>
      </c>
      <c r="C4" t="n">
        <v>30766.66666666666</v>
      </c>
      <c r="D4" t="n">
        <v>31386.66666666666</v>
      </c>
    </row>
    <row r="5">
      <c r="A5" t="n">
        <v>4</v>
      </c>
      <c r="B5" t="n">
        <v>40550</v>
      </c>
      <c r="C5" t="n">
        <v>32566.66666666666</v>
      </c>
      <c r="D5" t="n">
        <v>33253.33333333333</v>
      </c>
    </row>
    <row r="6">
      <c r="A6" t="n">
        <v>5</v>
      </c>
      <c r="B6" t="n">
        <v>45277.77777777777</v>
      </c>
      <c r="C6" t="n">
        <v>34366.66666666666</v>
      </c>
      <c r="D6" t="n">
        <v>35120</v>
      </c>
    </row>
    <row r="7">
      <c r="A7" t="n">
        <v>6</v>
      </c>
      <c r="B7" t="n">
        <v>50005.55555555556</v>
      </c>
      <c r="C7" t="n">
        <v>36166.66666666666</v>
      </c>
      <c r="D7" t="n">
        <v>36986.66666666666</v>
      </c>
    </row>
    <row r="8">
      <c r="A8" t="n">
        <v>7</v>
      </c>
      <c r="B8" t="n">
        <v>54783.33333333333</v>
      </c>
      <c r="C8" t="n">
        <v>38066.66666666666</v>
      </c>
      <c r="D8" t="n">
        <v>39026.66666666666</v>
      </c>
    </row>
    <row r="9">
      <c r="A9" t="n">
        <v>8</v>
      </c>
      <c r="B9" t="n">
        <v>59561.11111111111</v>
      </c>
      <c r="C9" t="n">
        <v>42244.44444444445</v>
      </c>
      <c r="D9" t="n">
        <v>43344.44444444445</v>
      </c>
    </row>
    <row r="10">
      <c r="A10" t="n">
        <v>9</v>
      </c>
      <c r="B10" t="n">
        <v>64338.88888888889</v>
      </c>
      <c r="C10" t="n">
        <v>46422.22222222222</v>
      </c>
      <c r="D10" t="n">
        <v>47662.22222222222</v>
      </c>
    </row>
    <row r="11">
      <c r="A11" t="n">
        <v>10</v>
      </c>
      <c r="B11" t="n">
        <v>69116.66666666667</v>
      </c>
      <c r="C11" t="n">
        <v>50700</v>
      </c>
      <c r="D11" t="n">
        <v>52066.66666666666</v>
      </c>
    </row>
    <row r="12">
      <c r="A12" t="n">
        <v>11</v>
      </c>
      <c r="B12" t="n">
        <v>73894.44444444444</v>
      </c>
      <c r="C12" t="n">
        <v>54977.77777777777</v>
      </c>
      <c r="D12" t="n">
        <v>56471.11111111111</v>
      </c>
    </row>
    <row r="13">
      <c r="A13" t="n">
        <v>12</v>
      </c>
      <c r="B13" t="n">
        <v>78672.22222222222</v>
      </c>
      <c r="C13" t="n">
        <v>59255.55555555556</v>
      </c>
      <c r="D13" t="n">
        <v>60875.55555555556</v>
      </c>
    </row>
    <row r="14">
      <c r="A14" t="n">
        <v>13</v>
      </c>
      <c r="B14" t="n">
        <v>83400</v>
      </c>
      <c r="C14" t="n">
        <v>63533.33333333333</v>
      </c>
      <c r="D14" t="n">
        <v>65280</v>
      </c>
    </row>
    <row r="15">
      <c r="A15" t="n">
        <v>14</v>
      </c>
      <c r="B15" t="n">
        <v>87627.77777777778</v>
      </c>
      <c r="C15" t="n">
        <v>68311.11111111111</v>
      </c>
      <c r="D15" t="n">
        <v>70184.44444444444</v>
      </c>
    </row>
    <row r="16">
      <c r="A16" t="n">
        <v>15</v>
      </c>
      <c r="B16" t="n">
        <v>91855.55555555556</v>
      </c>
      <c r="C16" t="n">
        <v>73088.88888888889</v>
      </c>
      <c r="D16" t="n">
        <v>75088.88888888889</v>
      </c>
    </row>
    <row r="17">
      <c r="A17" t="n">
        <v>16</v>
      </c>
      <c r="B17" t="n">
        <v>96083.33333333334</v>
      </c>
      <c r="C17" t="n">
        <v>77866.66666666667</v>
      </c>
      <c r="D17" t="n">
        <v>79993.33333333334</v>
      </c>
    </row>
    <row r="18">
      <c r="A18" t="n">
        <v>17</v>
      </c>
      <c r="B18" t="n">
        <v>100311.1111111111</v>
      </c>
      <c r="C18" t="n">
        <v>82644.44444444444</v>
      </c>
      <c r="D18" t="n">
        <v>84897.77777777777</v>
      </c>
    </row>
    <row r="19">
      <c r="A19" t="n">
        <v>18</v>
      </c>
      <c r="B19" t="n">
        <v>104538.8888888889</v>
      </c>
      <c r="C19" t="n">
        <v>87422.22222222222</v>
      </c>
      <c r="D19" t="n">
        <v>89802.22222222222</v>
      </c>
    </row>
    <row r="20">
      <c r="A20" t="n">
        <v>19</v>
      </c>
      <c r="B20" t="n">
        <v>108716.6666666667</v>
      </c>
      <c r="C20" t="n">
        <v>92100</v>
      </c>
      <c r="D20" t="n">
        <v>94620</v>
      </c>
    </row>
    <row r="21">
      <c r="A21" t="n">
        <v>20</v>
      </c>
      <c r="B21" t="n">
        <v>114394.4444444444</v>
      </c>
      <c r="C21" t="n">
        <v>96777.77777777778</v>
      </c>
      <c r="D21" t="n">
        <v>99437.77777777778</v>
      </c>
    </row>
    <row r="22">
      <c r="A22" t="n">
        <v>21</v>
      </c>
      <c r="B22" t="n">
        <v>120072.2222222222</v>
      </c>
      <c r="C22" t="n">
        <v>101455.5555555556</v>
      </c>
      <c r="D22" t="n">
        <v>104255.5555555556</v>
      </c>
    </row>
    <row r="23">
      <c r="A23" t="n">
        <v>22</v>
      </c>
      <c r="B23" t="n">
        <v>125750</v>
      </c>
      <c r="C23" t="n">
        <v>106033.3333333333</v>
      </c>
      <c r="D23" t="n">
        <v>108986.6666666667</v>
      </c>
    </row>
    <row r="24">
      <c r="A24" t="n">
        <v>23</v>
      </c>
      <c r="B24" t="n">
        <v>131427.7777777778</v>
      </c>
      <c r="C24" t="n">
        <v>110611.1111111111</v>
      </c>
      <c r="D24" t="n">
        <v>113717.7777777778</v>
      </c>
    </row>
    <row r="25">
      <c r="A25" t="n">
        <v>24</v>
      </c>
      <c r="B25" t="n">
        <v>137105.5555555556</v>
      </c>
      <c r="C25" t="n">
        <v>115188.8888888889</v>
      </c>
      <c r="D25" t="n">
        <v>118448.8888888889</v>
      </c>
    </row>
    <row r="26">
      <c r="A26" t="n">
        <v>25</v>
      </c>
      <c r="B26" t="n">
        <v>142733.3333333333</v>
      </c>
      <c r="C26" t="n">
        <v>119666.6666666667</v>
      </c>
      <c r="D26" t="n">
        <v>123093.3333333333</v>
      </c>
    </row>
    <row r="27">
      <c r="A27" t="n">
        <v>26</v>
      </c>
      <c r="B27" t="n">
        <v>148138.8888888889</v>
      </c>
      <c r="C27" t="n">
        <v>123644.4444444445</v>
      </c>
      <c r="D27" t="n">
        <v>127237.7777777778</v>
      </c>
    </row>
    <row r="28">
      <c r="A28" t="n">
        <v>27</v>
      </c>
      <c r="B28" t="n">
        <v>153544.4444444444</v>
      </c>
      <c r="C28" t="n">
        <v>127622.2222222222</v>
      </c>
      <c r="D28" t="n">
        <v>131382.2222222222</v>
      </c>
    </row>
    <row r="29">
      <c r="A29" t="n">
        <v>28</v>
      </c>
      <c r="B29" t="n">
        <v>158950</v>
      </c>
      <c r="C29" t="n">
        <v>131500</v>
      </c>
      <c r="D29" t="n">
        <v>135440</v>
      </c>
    </row>
    <row r="30">
      <c r="A30" t="n">
        <v>29</v>
      </c>
      <c r="B30" t="n">
        <v>164355.5555555556</v>
      </c>
      <c r="C30" t="n">
        <v>135377.7777777778</v>
      </c>
      <c r="D30" t="n">
        <v>139497.7777777778</v>
      </c>
    </row>
    <row r="31">
      <c r="A31" t="n">
        <v>30</v>
      </c>
      <c r="B31" t="n">
        <v>169761.1111111111</v>
      </c>
      <c r="C31" t="n">
        <v>139255.5555555556</v>
      </c>
      <c r="D31" t="n">
        <v>143555.5555555556</v>
      </c>
    </row>
    <row r="32">
      <c r="A32" t="n">
        <v>31</v>
      </c>
      <c r="B32" t="n">
        <v>175116.6666666667</v>
      </c>
      <c r="C32" t="n">
        <v>143033.3333333333</v>
      </c>
      <c r="D32" t="n">
        <v>147526.6666666667</v>
      </c>
    </row>
    <row r="33">
      <c r="A33" t="n">
        <v>32</v>
      </c>
      <c r="B33" t="n">
        <v>175416.6666666667</v>
      </c>
      <c r="C33" t="n">
        <v>143533.3333333333</v>
      </c>
      <c r="D33" t="n">
        <v>148220</v>
      </c>
    </row>
    <row r="34">
      <c r="A34" t="n">
        <v>33</v>
      </c>
      <c r="B34" t="n">
        <v>175716.6666666667</v>
      </c>
      <c r="C34" t="n">
        <v>144033.3333333333</v>
      </c>
      <c r="D34" t="n">
        <v>148913.3333333333</v>
      </c>
    </row>
    <row r="35">
      <c r="A35" t="n">
        <v>34</v>
      </c>
      <c r="B35" t="n">
        <v>176016.6666666667</v>
      </c>
      <c r="C35" t="n">
        <v>144433.3333333333</v>
      </c>
      <c r="D35" t="n">
        <v>149520</v>
      </c>
    </row>
    <row r="36">
      <c r="A36" t="n">
        <v>35</v>
      </c>
      <c r="B36" t="n">
        <v>176316.6666666667</v>
      </c>
      <c r="C36" t="n">
        <v>144833.3333333333</v>
      </c>
      <c r="D36" t="n">
        <v>150126.6666666667</v>
      </c>
    </row>
    <row r="37">
      <c r="A37" t="n">
        <v>36</v>
      </c>
      <c r="B37" t="n">
        <v>176616.6666666667</v>
      </c>
      <c r="C37" t="n">
        <v>145233.3333333333</v>
      </c>
      <c r="D37" t="n">
        <v>150733.3333333333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ga</t>
        </is>
      </c>
    </row>
    <row r="2">
      <c r="A2" t="n">
        <v>1</v>
      </c>
      <c r="B2" t="n">
        <v>23166.66666666667</v>
      </c>
      <c r="C2" t="n">
        <v>23166.66666666667</v>
      </c>
      <c r="D2" t="n">
        <v>23166.66666666667</v>
      </c>
    </row>
    <row r="3">
      <c r="A3" t="n">
        <v>2</v>
      </c>
      <c r="B3" t="n">
        <v>23986.11111111111</v>
      </c>
      <c r="C3" t="n">
        <v>23166.66666666667</v>
      </c>
      <c r="D3" t="n">
        <v>23166.66666666667</v>
      </c>
    </row>
    <row r="4">
      <c r="A4" t="n">
        <v>3</v>
      </c>
      <c r="B4" t="n">
        <v>24805.55555555555</v>
      </c>
      <c r="C4" t="n">
        <v>23166.66666666667</v>
      </c>
      <c r="D4" t="n">
        <v>23166.66666666667</v>
      </c>
    </row>
    <row r="5">
      <c r="A5" t="n">
        <v>4</v>
      </c>
      <c r="B5" t="n">
        <v>25625</v>
      </c>
      <c r="C5" t="n">
        <v>23166.66666666667</v>
      </c>
      <c r="D5" t="n">
        <v>23166.66666666667</v>
      </c>
    </row>
    <row r="6">
      <c r="A6" t="n">
        <v>5</v>
      </c>
      <c r="B6" t="n">
        <v>26444.44444444445</v>
      </c>
      <c r="C6" t="n">
        <v>23166.66666666667</v>
      </c>
      <c r="D6" t="n">
        <v>23166.66666666667</v>
      </c>
    </row>
    <row r="7">
      <c r="A7" t="n">
        <v>6</v>
      </c>
      <c r="B7" t="n">
        <v>27263.88888888889</v>
      </c>
      <c r="C7" t="n">
        <v>23166.66666666667</v>
      </c>
      <c r="D7" t="n">
        <v>23166.66666666667</v>
      </c>
    </row>
    <row r="8">
      <c r="A8" t="n">
        <v>7</v>
      </c>
      <c r="B8" t="n">
        <v>28083.33333333333</v>
      </c>
      <c r="C8" t="n">
        <v>23166.66666666667</v>
      </c>
      <c r="D8" t="n">
        <v>23166.66666666667</v>
      </c>
    </row>
    <row r="9">
      <c r="A9" t="n">
        <v>8</v>
      </c>
      <c r="B9" t="n">
        <v>28902.77777777778</v>
      </c>
      <c r="C9" t="n">
        <v>23166.66666666667</v>
      </c>
      <c r="D9" t="n">
        <v>23166.66666666667</v>
      </c>
    </row>
    <row r="10">
      <c r="A10" t="n">
        <v>9</v>
      </c>
      <c r="B10" t="n">
        <v>29722.22222222222</v>
      </c>
      <c r="C10" t="n">
        <v>23166.66666666667</v>
      </c>
      <c r="D10" t="n">
        <v>23166.66666666667</v>
      </c>
    </row>
    <row r="11">
      <c r="A11" t="n">
        <v>10</v>
      </c>
      <c r="B11" t="n">
        <v>30541.66666666667</v>
      </c>
      <c r="C11" t="n">
        <v>23166.66666666667</v>
      </c>
      <c r="D11" t="n">
        <v>23166.66666666667</v>
      </c>
    </row>
    <row r="12">
      <c r="A12" t="n">
        <v>11</v>
      </c>
      <c r="B12" t="n">
        <v>31361.11111111111</v>
      </c>
      <c r="C12" t="n">
        <v>23166.66666666667</v>
      </c>
      <c r="D12" t="n">
        <v>23166.66666666667</v>
      </c>
    </row>
    <row r="13">
      <c r="A13" t="n">
        <v>12</v>
      </c>
      <c r="B13" t="n">
        <v>32180.55555555555</v>
      </c>
      <c r="C13" t="n">
        <v>23166.66666666667</v>
      </c>
      <c r="D13" t="n">
        <v>23166.66666666667</v>
      </c>
    </row>
    <row r="14">
      <c r="A14" t="n">
        <v>13</v>
      </c>
      <c r="B14" t="n">
        <v>33000</v>
      </c>
      <c r="C14" t="n">
        <v>23166.66666666667</v>
      </c>
      <c r="D14" t="n">
        <v>23166.66666666667</v>
      </c>
    </row>
    <row r="15">
      <c r="A15" t="n">
        <v>14</v>
      </c>
      <c r="B15" t="n">
        <v>33819.44444444445</v>
      </c>
      <c r="C15" t="n">
        <v>23986.11111111111</v>
      </c>
      <c r="D15" t="n">
        <v>23986.11111111111</v>
      </c>
    </row>
    <row r="16">
      <c r="A16" t="n">
        <v>15</v>
      </c>
      <c r="B16" t="n">
        <v>34638.88888888889</v>
      </c>
      <c r="C16" t="n">
        <v>24805.55555555555</v>
      </c>
      <c r="D16" t="n">
        <v>24805.55555555555</v>
      </c>
    </row>
    <row r="17">
      <c r="A17" t="n">
        <v>16</v>
      </c>
      <c r="B17" t="n">
        <v>35458.33333333333</v>
      </c>
      <c r="C17" t="n">
        <v>25625</v>
      </c>
      <c r="D17" t="n">
        <v>25625</v>
      </c>
    </row>
    <row r="18">
      <c r="A18" t="n">
        <v>17</v>
      </c>
      <c r="B18" t="n">
        <v>36277.77777777778</v>
      </c>
      <c r="C18" t="n">
        <v>26444.44444444445</v>
      </c>
      <c r="D18" t="n">
        <v>26444.44444444445</v>
      </c>
    </row>
    <row r="19">
      <c r="A19" t="n">
        <v>18</v>
      </c>
      <c r="B19" t="n">
        <v>37097.22222222222</v>
      </c>
      <c r="C19" t="n">
        <v>27263.88888888889</v>
      </c>
      <c r="D19" t="n">
        <v>27263.88888888889</v>
      </c>
    </row>
    <row r="20">
      <c r="A20" t="n">
        <v>19</v>
      </c>
      <c r="B20" t="n">
        <v>37916.66666666666</v>
      </c>
      <c r="C20" t="n">
        <v>28083.33333333333</v>
      </c>
      <c r="D20" t="n">
        <v>28083.33333333333</v>
      </c>
    </row>
    <row r="21">
      <c r="A21" t="n">
        <v>20</v>
      </c>
      <c r="B21" t="n">
        <v>38736.11111111112</v>
      </c>
      <c r="C21" t="n">
        <v>28902.77777777778</v>
      </c>
      <c r="D21" t="n">
        <v>28902.77777777778</v>
      </c>
    </row>
    <row r="22">
      <c r="A22" t="n">
        <v>21</v>
      </c>
      <c r="B22" t="n">
        <v>39555.55555555555</v>
      </c>
      <c r="C22" t="n">
        <v>29722.22222222222</v>
      </c>
      <c r="D22" t="n">
        <v>29722.22222222222</v>
      </c>
    </row>
    <row r="23">
      <c r="A23" t="n">
        <v>22</v>
      </c>
      <c r="B23" t="n">
        <v>40375</v>
      </c>
      <c r="C23" t="n">
        <v>30541.66666666667</v>
      </c>
      <c r="D23" t="n">
        <v>30541.66666666667</v>
      </c>
    </row>
    <row r="24">
      <c r="A24" t="n">
        <v>23</v>
      </c>
      <c r="B24" t="n">
        <v>41194.44444444445</v>
      </c>
      <c r="C24" t="n">
        <v>31361.11111111111</v>
      </c>
      <c r="D24" t="n">
        <v>31361.11111111111</v>
      </c>
    </row>
    <row r="25">
      <c r="A25" t="n">
        <v>24</v>
      </c>
      <c r="B25" t="n">
        <v>42013.88888888888</v>
      </c>
      <c r="C25" t="n">
        <v>32180.55555555555</v>
      </c>
      <c r="D25" t="n">
        <v>32180.55555555555</v>
      </c>
    </row>
    <row r="26">
      <c r="A26" t="n">
        <v>25</v>
      </c>
      <c r="B26" t="n">
        <v>42833.33333333334</v>
      </c>
      <c r="C26" t="n">
        <v>33000</v>
      </c>
      <c r="D26" t="n">
        <v>33000</v>
      </c>
    </row>
    <row r="27">
      <c r="A27" t="n">
        <v>26</v>
      </c>
      <c r="B27" t="n">
        <v>42833.33333333334</v>
      </c>
      <c r="C27" t="n">
        <v>33000</v>
      </c>
      <c r="D27" t="n">
        <v>33000</v>
      </c>
    </row>
    <row r="28">
      <c r="A28" t="n">
        <v>27</v>
      </c>
      <c r="B28" t="n">
        <v>42833.33333333334</v>
      </c>
      <c r="C28" t="n">
        <v>33000</v>
      </c>
      <c r="D28" t="n">
        <v>33000</v>
      </c>
    </row>
    <row r="29">
      <c r="A29" t="n">
        <v>28</v>
      </c>
      <c r="B29" t="n">
        <v>42833.33333333334</v>
      </c>
      <c r="C29" t="n">
        <v>33000</v>
      </c>
      <c r="D29" t="n">
        <v>33000</v>
      </c>
    </row>
    <row r="30">
      <c r="A30" t="n">
        <v>29</v>
      </c>
      <c r="B30" t="n">
        <v>42833.33333333334</v>
      </c>
      <c r="C30" t="n">
        <v>33000</v>
      </c>
      <c r="D30" t="n">
        <v>33000</v>
      </c>
    </row>
    <row r="31">
      <c r="A31" t="n">
        <v>30</v>
      </c>
      <c r="B31" t="n">
        <v>42833.33333333334</v>
      </c>
      <c r="C31" t="n">
        <v>33000</v>
      </c>
      <c r="D31" t="n">
        <v>33000</v>
      </c>
    </row>
    <row r="32">
      <c r="A32" t="n">
        <v>31</v>
      </c>
      <c r="B32" t="n">
        <v>42833.33333333334</v>
      </c>
      <c r="C32" t="n">
        <v>33000</v>
      </c>
      <c r="D32" t="n">
        <v>33000</v>
      </c>
    </row>
    <row r="33">
      <c r="A33" t="n">
        <v>32</v>
      </c>
      <c r="B33" t="n">
        <v>42833.33333333334</v>
      </c>
      <c r="C33" t="n">
        <v>33000</v>
      </c>
      <c r="D33" t="n">
        <v>33000</v>
      </c>
    </row>
    <row r="34">
      <c r="A34" t="n">
        <v>33</v>
      </c>
      <c r="B34" t="n">
        <v>42833.33333333334</v>
      </c>
      <c r="C34" t="n">
        <v>33000</v>
      </c>
      <c r="D34" t="n">
        <v>33000</v>
      </c>
    </row>
    <row r="35">
      <c r="A35" t="n">
        <v>34</v>
      </c>
      <c r="B35" t="n">
        <v>42833.33333333334</v>
      </c>
      <c r="C35" t="n">
        <v>33000</v>
      </c>
      <c r="D35" t="n">
        <v>33000</v>
      </c>
    </row>
    <row r="36">
      <c r="A36" t="n">
        <v>35</v>
      </c>
      <c r="B36" t="n">
        <v>42833.33333333334</v>
      </c>
      <c r="C36" t="n">
        <v>33000</v>
      </c>
      <c r="D36" t="n">
        <v>33000</v>
      </c>
    </row>
    <row r="37">
      <c r="A37" t="n">
        <v>36</v>
      </c>
      <c r="B37" t="n">
        <v>42833.33333333334</v>
      </c>
      <c r="C37" t="n">
        <v>33000</v>
      </c>
      <c r="D37" t="n">
        <v>33000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d_wc</t>
        </is>
      </c>
    </row>
    <row r="2">
      <c r="A2" t="n">
        <v>1</v>
      </c>
      <c r="B2" t="n">
        <v>-1239.75</v>
      </c>
      <c r="C2" t="n">
        <v>-4884.527999999998</v>
      </c>
      <c r="D2" t="n">
        <v>-9869.280000000002</v>
      </c>
    </row>
    <row r="3">
      <c r="A3" t="n">
        <v>2</v>
      </c>
      <c r="B3" t="n">
        <v>-1322.212948981175</v>
      </c>
      <c r="C3" t="n">
        <v>-5444.925470022685</v>
      </c>
      <c r="D3" t="n">
        <v>-10983.72415724344</v>
      </c>
    </row>
    <row r="4">
      <c r="A4" t="n">
        <v>3</v>
      </c>
      <c r="B4" t="n">
        <v>-1382.051882232522</v>
      </c>
      <c r="C4" t="n">
        <v>-5927.981713051409</v>
      </c>
      <c r="D4" t="n">
        <v>-11929.03519938857</v>
      </c>
    </row>
    <row r="5">
      <c r="A5" t="n">
        <v>4</v>
      </c>
      <c r="B5" t="n">
        <v>-1418.200677856092</v>
      </c>
      <c r="C5" t="n">
        <v>-6384.299420108511</v>
      </c>
      <c r="D5" t="n">
        <v>-12734.15339694398</v>
      </c>
    </row>
    <row r="6">
      <c r="A6" t="n">
        <v>5</v>
      </c>
      <c r="B6" t="n">
        <v>-1429.678195422264</v>
      </c>
      <c r="C6" t="n">
        <v>-6743.57624644765</v>
      </c>
      <c r="D6" t="n">
        <v>-13329.84788584439</v>
      </c>
    </row>
    <row r="7">
      <c r="A7" t="n">
        <v>6</v>
      </c>
      <c r="B7" t="n">
        <v>-1415.580684176364</v>
      </c>
      <c r="C7" t="n">
        <v>-6996.16682978236</v>
      </c>
      <c r="D7" t="n">
        <v>-13696.41328578925</v>
      </c>
    </row>
    <row r="8">
      <c r="A8" t="n">
        <v>7</v>
      </c>
      <c r="B8" t="n">
        <v>-1502.612671799456</v>
      </c>
      <c r="C8" t="n">
        <v>-7635.211576194804</v>
      </c>
      <c r="D8" t="n">
        <v>-14729.27039384805</v>
      </c>
    </row>
    <row r="9">
      <c r="A9" t="n">
        <v>8</v>
      </c>
      <c r="B9" t="n">
        <v>-1465.814763086979</v>
      </c>
      <c r="C9" t="n">
        <v>-7792.240932728517</v>
      </c>
      <c r="D9" t="n">
        <v>-15028.1450252123</v>
      </c>
    </row>
    <row r="10">
      <c r="A10" t="n">
        <v>9</v>
      </c>
      <c r="B10" t="n">
        <v>-1397.803596785498</v>
      </c>
      <c r="C10" t="n">
        <v>-7803.410687834614</v>
      </c>
      <c r="D10" t="n">
        <v>-15006.97007856715</v>
      </c>
    </row>
    <row r="11">
      <c r="A11" t="n">
        <v>10</v>
      </c>
      <c r="B11" t="n">
        <v>-1297.52983565499</v>
      </c>
      <c r="C11" t="n">
        <v>-7802.396544937401</v>
      </c>
      <c r="D11" t="n">
        <v>-14867.52303799106</v>
      </c>
    </row>
    <row r="12">
      <c r="A12" t="n">
        <v>11</v>
      </c>
      <c r="B12" t="n">
        <v>-1164.026370811225</v>
      </c>
      <c r="C12" t="n">
        <v>-7628.102007641224</v>
      </c>
      <c r="D12" t="n">
        <v>-14346.46200840385</v>
      </c>
    </row>
    <row r="13">
      <c r="A13" t="n">
        <v>12</v>
      </c>
      <c r="B13" t="n">
        <v>-996.4009029064073</v>
      </c>
      <c r="C13" t="n">
        <v>-7268.007689637067</v>
      </c>
      <c r="D13" t="n">
        <v>-13415.93944978391</v>
      </c>
    </row>
    <row r="14">
      <c r="A14" t="n">
        <v>13</v>
      </c>
      <c r="B14" t="n">
        <v>-1739.633682500571</v>
      </c>
      <c r="C14" t="n">
        <v>-11743.3074134034</v>
      </c>
      <c r="D14" t="n">
        <v>-22669.00512674131</v>
      </c>
    </row>
    <row r="15">
      <c r="A15" t="n">
        <v>14</v>
      </c>
      <c r="B15" t="n">
        <v>-1446.852160010305</v>
      </c>
      <c r="C15" t="n">
        <v>-11129.66760165349</v>
      </c>
      <c r="D15" t="n">
        <v>-21290.3700291908</v>
      </c>
    </row>
    <row r="16">
      <c r="A16" t="n">
        <v>15</v>
      </c>
      <c r="B16" t="n">
        <v>-1111.813822160584</v>
      </c>
      <c r="C16" t="n">
        <v>-10263.7965779373</v>
      </c>
      <c r="D16" t="n">
        <v>-19354.95638580972</v>
      </c>
    </row>
    <row r="17">
      <c r="A17" t="n">
        <v>16</v>
      </c>
      <c r="B17" t="n">
        <v>-734.3490197494903</v>
      </c>
      <c r="C17" t="n">
        <v>-9129.844229932191</v>
      </c>
      <c r="D17" t="n">
        <v>-16821.96930869838</v>
      </c>
    </row>
    <row r="18">
      <c r="A18" t="n">
        <v>17</v>
      </c>
      <c r="B18" t="n">
        <v>-314.2360894961748</v>
      </c>
      <c r="C18" t="n">
        <v>-7711.629902983754</v>
      </c>
      <c r="D18" t="n">
        <v>-13649.43603091125</v>
      </c>
    </row>
    <row r="19">
      <c r="A19" t="n">
        <v>18</v>
      </c>
      <c r="B19" t="n">
        <v>148.7948020122858</v>
      </c>
      <c r="C19" t="n">
        <v>-5992.633849282938</v>
      </c>
      <c r="D19" t="n">
        <v>-9794.18172778748</v>
      </c>
    </row>
    <row r="20">
      <c r="A20" t="n">
        <v>19</v>
      </c>
      <c r="B20" t="n">
        <v>-103.9110700442179</v>
      </c>
      <c r="C20" t="n">
        <v>-6711.4896018492</v>
      </c>
      <c r="D20" t="n">
        <v>-9574.446560695389</v>
      </c>
    </row>
    <row r="21">
      <c r="A21" t="n">
        <v>20</v>
      </c>
      <c r="B21" t="n">
        <v>534.6054884730183</v>
      </c>
      <c r="C21" t="n">
        <v>-3958.345941278472</v>
      </c>
      <c r="D21" t="n">
        <v>-3614.620364451781</v>
      </c>
    </row>
    <row r="22">
      <c r="A22" t="n">
        <v>21</v>
      </c>
      <c r="B22" t="n">
        <v>1221.041748772135</v>
      </c>
      <c r="C22" t="n">
        <v>-837.4318048593123</v>
      </c>
      <c r="D22" t="n">
        <v>3189.477336084994</v>
      </c>
    </row>
    <row r="23">
      <c r="A23" t="n">
        <v>22</v>
      </c>
      <c r="B23" t="n">
        <v>1955.035838656993</v>
      </c>
      <c r="C23" t="n">
        <v>2912.551155596389</v>
      </c>
      <c r="D23" t="n">
        <v>11271.57721028547</v>
      </c>
    </row>
    <row r="24">
      <c r="A24" t="n">
        <v>23</v>
      </c>
      <c r="B24" t="n">
        <v>2736.326380076222</v>
      </c>
      <c r="C24" t="n">
        <v>7052.473917843774</v>
      </c>
      <c r="D24" t="n">
        <v>20273.62950423593</v>
      </c>
    </row>
    <row r="25">
      <c r="A25" t="n">
        <v>24</v>
      </c>
      <c r="B25" t="n">
        <v>3564.7442534211</v>
      </c>
      <c r="C25" t="n">
        <v>11596.09131245659</v>
      </c>
      <c r="D25" t="n">
        <v>30239.18032997404</v>
      </c>
    </row>
    <row r="26">
      <c r="A26" t="n">
        <v>25</v>
      </c>
      <c r="B26" t="n">
        <v>3495.152745253479</v>
      </c>
      <c r="C26" t="n">
        <v>12953.61174008451</v>
      </c>
      <c r="D26" t="n">
        <v>35463.99847214983</v>
      </c>
    </row>
    <row r="27">
      <c r="A27" t="n">
        <v>26</v>
      </c>
      <c r="B27" t="n">
        <v>4594.068270133663</v>
      </c>
      <c r="C27" t="n">
        <v>19448.0987650039</v>
      </c>
      <c r="D27" t="n">
        <v>49774.07117572741</v>
      </c>
    </row>
    <row r="28">
      <c r="A28" t="n">
        <v>27</v>
      </c>
      <c r="B28" t="n">
        <v>5742.498144373341</v>
      </c>
      <c r="C28" t="n">
        <v>26404.82640348305</v>
      </c>
      <c r="D28" t="n">
        <v>65209.06635754905</v>
      </c>
    </row>
    <row r="29">
      <c r="A29" t="n">
        <v>28</v>
      </c>
      <c r="B29" t="n">
        <v>6939.09782320066</v>
      </c>
      <c r="C29" t="n">
        <v>34122.51668101025</v>
      </c>
      <c r="D29" t="n">
        <v>82255.49864411459</v>
      </c>
    </row>
    <row r="30">
      <c r="A30" t="n">
        <v>29</v>
      </c>
      <c r="B30" t="n">
        <v>8182.66805667516</v>
      </c>
      <c r="C30" t="n">
        <v>42298.58891436597</v>
      </c>
      <c r="D30" t="n">
        <v>100455.4312833993</v>
      </c>
    </row>
    <row r="31">
      <c r="A31" t="n">
        <v>30</v>
      </c>
      <c r="B31" t="n">
        <v>9472.142151983222</v>
      </c>
      <c r="C31" t="n">
        <v>50937.88229818473</v>
      </c>
      <c r="D31" t="n">
        <v>119835.1577830014</v>
      </c>
    </row>
    <row r="32">
      <c r="A32" t="n">
        <v>31</v>
      </c>
      <c r="B32" t="n">
        <v>9651.176164857883</v>
      </c>
      <c r="C32" t="n">
        <v>55425.39391487243</v>
      </c>
      <c r="D32" t="n">
        <v>133009.0688590063</v>
      </c>
    </row>
    <row r="33">
      <c r="A33" t="n">
        <v>32</v>
      </c>
      <c r="B33" t="n">
        <v>11245.39386834041</v>
      </c>
      <c r="C33" t="n">
        <v>66036.06502962747</v>
      </c>
      <c r="D33" t="n">
        <v>156570.9066248915</v>
      </c>
    </row>
    <row r="34">
      <c r="A34" t="n">
        <v>33</v>
      </c>
      <c r="B34" t="n">
        <v>12879.90503100287</v>
      </c>
      <c r="C34" t="n">
        <v>77111.84960269759</v>
      </c>
      <c r="D34" t="n">
        <v>181364.7375309087</v>
      </c>
    </row>
    <row r="35">
      <c r="A35" t="n">
        <v>34</v>
      </c>
      <c r="B35" t="n">
        <v>14552.75472636498</v>
      </c>
      <c r="C35" t="n">
        <v>88987.99982342601</v>
      </c>
      <c r="D35" t="n">
        <v>207928.4803395079</v>
      </c>
    </row>
    <row r="36">
      <c r="A36" t="n">
        <v>35</v>
      </c>
      <c r="B36" t="n">
        <v>16262.19684655439</v>
      </c>
      <c r="C36" t="n">
        <v>101309.2818938566</v>
      </c>
      <c r="D36" t="n">
        <v>121359.0482299296</v>
      </c>
    </row>
    <row r="37">
      <c r="A37" t="n">
        <v>36</v>
      </c>
      <c r="B37" t="n">
        <v>18006.67548447114</v>
      </c>
      <c r="C37" t="n">
        <v>114074.779982951</v>
      </c>
      <c r="D37" t="n">
        <v>66078.83593627671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月份</t>
        </is>
      </c>
      <c r="B1" s="3" t="inlineStr">
        <is>
          <t>悲观</t>
        </is>
      </c>
      <c r="C1" s="3" t="inlineStr">
        <is>
          <t>基准</t>
        </is>
      </c>
      <c r="D1" s="3" t="inlineStr">
        <is>
          <t>乐观</t>
        </is>
      </c>
      <c r="E1" s="5" t="inlineStr">
        <is>
          <t>tax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2026-10-20T08:48:52Z</dcterms:created>
  <dcterms:modified xmlns:dcterms="http://purl.org/dc/terms/" xmlns:xsi="http://www.w3.org/2001/XMLSchema-instance" xsi:type="dcterms:W3CDTF">2026-10-20T08:48:52Z</dcterms:modified>
</cp:coreProperties>
</file>