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会名单" sheetId="1" state="visible" r:id="rId1"/>
    <sheet xmlns:r="http://schemas.openxmlformats.org/officeDocument/2006/relationships" name="签到追踪表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物资清单" sheetId="4" state="visible" r:id="rId4"/>
  </sheets>
  <definedNames>
    <definedName name="_xlnm._FilterDatabase" localSheetId="0" hidden="1">'参会名单'!$A$1:$K$201</definedName>
    <definedName name="_xlnm._FilterDatabase" localSheetId="1" hidden="1">'签到追踪表'!$A$1:$I$201</definedName>
    <definedName name="_xlnm._FilterDatabase" localSheetId="3" hidden="1">'物资清单'!$A$1:$J$16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hh:mm"/>
    <numFmt numFmtId="166" formatCode="0.0%"/>
  </numFmts>
  <fonts count="8">
    <font>
      <name val="Calibri"/>
      <family val="2"/>
      <color theme="1"/>
      <sz val="11"/>
      <scheme val="minor"/>
    </font>
    <font>
      <name val="微软雅黑"/>
      <b val="1"/>
      <color rgb="FFFFFFFF"/>
      <sz val="10"/>
    </font>
    <font>
      <name val="微软雅黑"/>
      <color rgb="FF1A1A1A"/>
      <sz val="10"/>
    </font>
    <font>
      <name val="微软雅黑"/>
      <b val="1"/>
      <color rgb="FFFFFFFF"/>
      <sz val="15"/>
    </font>
    <font>
      <name val="微软雅黑"/>
      <color rgb="FF2F5597"/>
      <sz val="9"/>
    </font>
    <font>
      <name val="微软雅黑"/>
      <b val="1"/>
      <color rgb="FF2F5597"/>
      <sz val="11"/>
    </font>
    <font>
      <name val="微软雅黑"/>
      <b val="1"/>
      <color rgb="FF4472C4"/>
      <sz val="16"/>
    </font>
    <font>
      <name val="微软雅黑"/>
      <b val="1"/>
      <color rgb="FF2F5597"/>
      <sz val="10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F2F6FC"/>
      </patternFill>
    </fill>
    <fill>
      <patternFill patternType="solid">
        <fgColor rgb="FFFFFFFF"/>
      </patternFill>
    </fill>
    <fill>
      <patternFill patternType="solid">
        <fgColor rgb="FF2F5597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4472C4"/>
      </top>
      <bottom style="thin">
        <color rgb="FF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6" borderId="1" applyAlignment="1" pivotButton="0" quotePrefix="0" xfId="0">
      <alignment horizontal="center" vertical="center"/>
    </xf>
    <xf numFmtId="0" fontId="0" fillId="0" borderId="4" pivotButton="0" quotePrefix="0" xfId="0"/>
    <xf numFmtId="1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166" fontId="7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微软雅黑"/>
        <b val="1"/>
        <color rgb="FF006100"/>
        <sz val="10"/>
      </font>
      <fill>
        <patternFill patternType="solid">
          <fgColor rgb="FFC6EFCE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</patternFill>
      </fill>
    </dxf>
    <dxf>
      <font>
        <name val="微软雅黑"/>
        <b val="1"/>
        <color rgb="FF9C6500"/>
        <sz val="10"/>
      </font>
      <fill>
        <patternFill patternType="solid">
          <fgColor rgb="FFFFEB9C"/>
        </patternFill>
      </fill>
    </dxf>
    <dxf>
      <font>
        <name val="微软雅黑"/>
        <b val="1"/>
        <color rgb="FF9C0006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各票种报名 / 签到人数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'数据统计'!B9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'数据统计'!$A$10:$A$13</f>
            </numRef>
          </cat>
          <val>
            <numRef>
              <f>'数据统计'!$B$10:$B$13</f>
            </numRef>
          </val>
        </ser>
        <ser>
          <idx val="1"/>
          <order val="1"/>
          <tx>
            <strRef>
              <f>'数据统计'!C9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'数据统计'!$A$10:$A$13</f>
            </numRef>
          </cat>
          <val>
            <numRef>
              <f>'数据统计'!$C$10:$C$13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餐食偏好占比</a:t>
            </a:r>
          </a:p>
        </rich>
      </tx>
    </title>
    <plotArea>
      <pieChart>
        <varyColors val="1"/>
        <ser>
          <idx val="0"/>
          <order val="0"/>
          <tx>
            <strRef>
              <f>'数据统计'!B33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'数据统计'!$A$34:$A$37</f>
            </numRef>
          </cat>
          <val>
            <numRef>
              <f>'数据统计'!$B$34:$B$37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486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20</row>
      <rowOff>0</rowOff>
    </from>
    <ext cx="486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K2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30" customWidth="1" min="5" max="5"/>
    <col width="14" customWidth="1" min="6" max="6"/>
    <col width="10" customWidth="1" min="7" max="7"/>
    <col width="11" customWidth="1" min="8" max="8"/>
    <col width="10" customWidth="1" min="9" max="9"/>
    <col width="12" customWidth="1" min="10" max="10"/>
    <col width="11" customWidth="1" min="11" max="11"/>
  </cols>
  <sheetData>
    <row r="1" ht="24" customHeight="1">
      <c r="A1" s="1" t="inlineStr">
        <is>
          <t>编号</t>
        </is>
      </c>
      <c r="B1" s="1" t="inlineStr">
        <is>
          <t>姓名</t>
        </is>
      </c>
      <c r="C1" s="1" t="inlineStr">
        <is>
          <t>公司</t>
        </is>
      </c>
      <c r="D1" s="1" t="inlineStr">
        <is>
          <t>职位</t>
        </is>
      </c>
      <c r="E1" s="1" t="inlineStr">
        <is>
          <t>邮箱</t>
        </is>
      </c>
      <c r="F1" s="1" t="inlineStr">
        <is>
          <t>手机</t>
        </is>
      </c>
      <c r="G1" s="1" t="inlineStr">
        <is>
          <t>票种</t>
        </is>
      </c>
      <c r="H1" s="1" t="inlineStr">
        <is>
          <t>餐食偏好</t>
        </is>
      </c>
      <c r="I1" s="1" t="inlineStr">
        <is>
          <t>T恤尺码</t>
        </is>
      </c>
      <c r="J1" s="1" t="inlineStr">
        <is>
          <t>报名日期</t>
        </is>
      </c>
      <c r="K1" s="1" t="inlineStr">
        <is>
          <t>签到状态</t>
        </is>
      </c>
    </row>
    <row r="2">
      <c r="A2" s="2" t="n">
        <v>1</v>
      </c>
      <c r="B2" s="3" t="inlineStr">
        <is>
          <t>何琪然</t>
        </is>
      </c>
      <c r="C2" s="3" t="inlineStr">
        <is>
          <t>星环动力</t>
        </is>
      </c>
      <c r="D2" s="3" t="inlineStr">
        <is>
          <t>技术副总裁</t>
        </is>
      </c>
      <c r="E2" s="3" t="inlineStr">
        <is>
          <t>heqiran01@stellar-ring.com</t>
        </is>
      </c>
      <c r="F2" s="2" t="inlineStr">
        <is>
          <t>13666724660</t>
        </is>
      </c>
      <c r="G2" s="2" t="inlineStr">
        <is>
          <t>VIP</t>
        </is>
      </c>
      <c r="H2" s="2" t="inlineStr">
        <is>
          <t>无麸质</t>
        </is>
      </c>
      <c r="I2" s="2" t="inlineStr">
        <is>
          <t>M</t>
        </is>
      </c>
      <c r="J2" s="4" t="n">
        <v>46124</v>
      </c>
      <c r="K2" s="2" t="inlineStr">
        <is>
          <t>已签到</t>
        </is>
      </c>
    </row>
    <row r="3">
      <c r="A3" s="2" t="n">
        <v>2</v>
      </c>
      <c r="B3" s="3" t="inlineStr">
        <is>
          <t>杨杰彤</t>
        </is>
      </c>
      <c r="C3" s="3" t="inlineStr">
        <is>
          <t>领航智造</t>
        </is>
      </c>
      <c r="D3" s="3" t="inlineStr">
        <is>
          <t>技术副总裁</t>
        </is>
      </c>
      <c r="E3" s="3" t="inlineStr">
        <is>
          <t>yangjietong02@navi-mfg.com</t>
        </is>
      </c>
      <c r="F3" s="2" t="inlineStr">
        <is>
          <t>13642943415</t>
        </is>
      </c>
      <c r="G3" s="2" t="inlineStr">
        <is>
          <t>VIP</t>
        </is>
      </c>
      <c r="H3" s="2" t="inlineStr">
        <is>
          <t>素食</t>
        </is>
      </c>
      <c r="I3" s="2" t="inlineStr">
        <is>
          <t>L</t>
        </is>
      </c>
      <c r="J3" s="4" t="n">
        <v>46111</v>
      </c>
      <c r="K3" s="2" t="inlineStr">
        <is>
          <t>已签到</t>
        </is>
      </c>
    </row>
    <row r="4">
      <c r="A4" s="2" t="n">
        <v>3</v>
      </c>
      <c r="B4" s="3" t="inlineStr">
        <is>
          <t>林然伟</t>
        </is>
      </c>
      <c r="C4" s="3" t="inlineStr">
        <is>
          <t>南岭智联</t>
        </is>
      </c>
      <c r="D4" s="3" t="inlineStr">
        <is>
          <t>首席架构师</t>
        </is>
      </c>
      <c r="E4" s="3" t="inlineStr">
        <is>
          <t>linranwei03@nanling-iot.cn</t>
        </is>
      </c>
      <c r="F4" s="2" t="inlineStr">
        <is>
          <t>18804099078</t>
        </is>
      </c>
      <c r="G4" s="2" t="inlineStr">
        <is>
          <t>VIP</t>
        </is>
      </c>
      <c r="H4" s="2" t="inlineStr">
        <is>
          <t>标准</t>
        </is>
      </c>
      <c r="I4" s="2" t="inlineStr">
        <is>
          <t>M</t>
        </is>
      </c>
      <c r="J4" s="4" t="n">
        <v>46151</v>
      </c>
      <c r="K4" s="2" t="inlineStr">
        <is>
          <t>已签到</t>
        </is>
      </c>
    </row>
    <row r="5">
      <c r="A5" s="2" t="n">
        <v>4</v>
      </c>
      <c r="B5" s="3" t="inlineStr">
        <is>
          <t>高怡刚</t>
        </is>
      </c>
      <c r="C5" s="3" t="inlineStr">
        <is>
          <t>星瀚科技</t>
        </is>
      </c>
      <c r="D5" s="3" t="inlineStr">
        <is>
          <t>研发总监</t>
        </is>
      </c>
      <c r="E5" s="3" t="inlineStr">
        <is>
          <t>gaoyigang04@xinghan-tech.com</t>
        </is>
      </c>
      <c r="F5" s="2" t="inlineStr">
        <is>
          <t>13648081540</t>
        </is>
      </c>
      <c r="G5" s="2" t="inlineStr">
        <is>
          <t>VIP</t>
        </is>
      </c>
      <c r="H5" s="2" t="inlineStr">
        <is>
          <t>素食</t>
        </is>
      </c>
      <c r="I5" s="2" t="inlineStr">
        <is>
          <t>M</t>
        </is>
      </c>
      <c r="J5" s="4" t="n">
        <v>46135</v>
      </c>
      <c r="K5" s="2" t="inlineStr">
        <is>
          <t>已签到</t>
        </is>
      </c>
    </row>
    <row r="6">
      <c r="A6" s="2" t="n">
        <v>5</v>
      </c>
      <c r="B6" s="3" t="inlineStr">
        <is>
          <t>何文洋</t>
        </is>
      </c>
      <c r="C6" s="3" t="inlineStr">
        <is>
          <t>领航智造</t>
        </is>
      </c>
      <c r="D6" s="3" t="inlineStr">
        <is>
          <t>技术副总裁</t>
        </is>
      </c>
      <c r="E6" s="3" t="inlineStr">
        <is>
          <t>hewenyang05@navi-mfg.com</t>
        </is>
      </c>
      <c r="F6" s="2" t="inlineStr">
        <is>
          <t>13873273561</t>
        </is>
      </c>
      <c r="G6" s="2" t="inlineStr">
        <is>
          <t>VIP</t>
        </is>
      </c>
      <c r="H6" s="2" t="inlineStr">
        <is>
          <t>标准</t>
        </is>
      </c>
      <c r="I6" s="2" t="inlineStr">
        <is>
          <t>L</t>
        </is>
      </c>
      <c r="J6" s="4" t="n">
        <v>46100</v>
      </c>
      <c r="K6" s="2" t="inlineStr">
        <is>
          <t>已签到</t>
        </is>
      </c>
    </row>
    <row r="7">
      <c r="A7" s="2" t="n">
        <v>6</v>
      </c>
      <c r="B7" s="3" t="inlineStr">
        <is>
          <t>郑磊</t>
        </is>
      </c>
      <c r="C7" s="3" t="inlineStr">
        <is>
          <t>蓝图网络</t>
        </is>
      </c>
      <c r="D7" s="3" t="inlineStr">
        <is>
          <t>技术副总裁</t>
        </is>
      </c>
      <c r="E7" s="3" t="inlineStr">
        <is>
          <t>zhenglei06@lantoo.net</t>
        </is>
      </c>
      <c r="F7" s="2" t="inlineStr">
        <is>
          <t>13627879060</t>
        </is>
      </c>
      <c r="G7" s="2" t="inlineStr">
        <is>
          <t>VIP</t>
        </is>
      </c>
      <c r="H7" s="2" t="inlineStr">
        <is>
          <t>无麸质</t>
        </is>
      </c>
      <c r="I7" s="2" t="inlineStr">
        <is>
          <t>M</t>
        </is>
      </c>
      <c r="J7" s="4" t="n">
        <v>46112</v>
      </c>
      <c r="K7" s="2" t="inlineStr">
        <is>
          <t>已签到</t>
        </is>
      </c>
    </row>
    <row r="8">
      <c r="A8" s="2" t="n">
        <v>7</v>
      </c>
      <c r="B8" s="3" t="inlineStr">
        <is>
          <t>王文芳</t>
        </is>
      </c>
      <c r="C8" s="3" t="inlineStr">
        <is>
          <t>南岭智联</t>
        </is>
      </c>
      <c r="D8" s="3" t="inlineStr">
        <is>
          <t>研发总监</t>
        </is>
      </c>
      <c r="E8" s="3" t="inlineStr">
        <is>
          <t>wangwenfang07@nanling-iot.cn</t>
        </is>
      </c>
      <c r="F8" s="2" t="inlineStr">
        <is>
          <t>13541398578</t>
        </is>
      </c>
      <c r="G8" s="2" t="inlineStr">
        <is>
          <t>VIP</t>
        </is>
      </c>
      <c r="H8" s="2" t="inlineStr">
        <is>
          <t>标准</t>
        </is>
      </c>
      <c r="I8" s="2" t="inlineStr">
        <is>
          <t>L</t>
        </is>
      </c>
      <c r="J8" s="4" t="n">
        <v>46110</v>
      </c>
      <c r="K8" s="2" t="inlineStr">
        <is>
          <t>已签到</t>
        </is>
      </c>
    </row>
    <row r="9">
      <c r="A9" s="2" t="n">
        <v>8</v>
      </c>
      <c r="B9" s="3" t="inlineStr">
        <is>
          <t>潘涵</t>
        </is>
      </c>
      <c r="C9" s="3" t="inlineStr">
        <is>
          <t>星瀚科技</t>
        </is>
      </c>
      <c r="D9" s="3" t="inlineStr">
        <is>
          <t>技术副总裁</t>
        </is>
      </c>
      <c r="E9" s="3" t="inlineStr">
        <is>
          <t>panhan08@xinghan-tech.com</t>
        </is>
      </c>
      <c r="F9" s="2" t="inlineStr">
        <is>
          <t>13896242196</t>
        </is>
      </c>
      <c r="G9" s="2" t="inlineStr">
        <is>
          <t>VIP</t>
        </is>
      </c>
      <c r="H9" s="2" t="inlineStr">
        <is>
          <t>标准</t>
        </is>
      </c>
      <c r="I9" s="2" t="inlineStr">
        <is>
          <t>M</t>
        </is>
      </c>
      <c r="J9" s="4" t="n">
        <v>46113</v>
      </c>
      <c r="K9" s="2" t="inlineStr">
        <is>
          <t>已签到</t>
        </is>
      </c>
    </row>
    <row r="10">
      <c r="A10" s="2" t="n">
        <v>9</v>
      </c>
      <c r="B10" s="3" t="inlineStr">
        <is>
          <t>冯勇宁</t>
        </is>
      </c>
      <c r="C10" s="3" t="inlineStr">
        <is>
          <t>天工智能</t>
        </is>
      </c>
      <c r="D10" s="3" t="inlineStr">
        <is>
          <t>CTO</t>
        </is>
      </c>
      <c r="E10" s="3" t="inlineStr">
        <is>
          <t>fengyongning09@tiangong-ai.com</t>
        </is>
      </c>
      <c r="F10" s="2" t="inlineStr">
        <is>
          <t>13806917835</t>
        </is>
      </c>
      <c r="G10" s="2" t="inlineStr">
        <is>
          <t>VIP</t>
        </is>
      </c>
      <c r="H10" s="2" t="inlineStr">
        <is>
          <t>标准</t>
        </is>
      </c>
      <c r="I10" s="2" t="inlineStr">
        <is>
          <t>XL</t>
        </is>
      </c>
      <c r="J10" s="4" t="n">
        <v>46144</v>
      </c>
      <c r="K10" s="2" t="inlineStr">
        <is>
          <t>已签到</t>
        </is>
      </c>
    </row>
    <row r="11">
      <c r="A11" s="2" t="n">
        <v>10</v>
      </c>
      <c r="B11" s="3" t="inlineStr">
        <is>
          <t>陈超芳</t>
        </is>
      </c>
      <c r="C11" s="3" t="inlineStr">
        <is>
          <t>万象云</t>
        </is>
      </c>
      <c r="D11" s="3" t="inlineStr">
        <is>
          <t>技术合伙人</t>
        </is>
      </c>
      <c r="E11" s="3" t="inlineStr">
        <is>
          <t>chenchaofang10@wanxiang-cloud.cn</t>
        </is>
      </c>
      <c r="F11" s="2" t="inlineStr">
        <is>
          <t>15814164504</t>
        </is>
      </c>
      <c r="G11" s="2" t="inlineStr">
        <is>
          <t>VIP</t>
        </is>
      </c>
      <c r="H11" s="2" t="inlineStr">
        <is>
          <t>清真</t>
        </is>
      </c>
      <c r="I11" s="2" t="inlineStr">
        <is>
          <t>M</t>
        </is>
      </c>
      <c r="J11" s="4" t="n">
        <v>46115</v>
      </c>
      <c r="K11" s="2" t="inlineStr">
        <is>
          <t>未签到</t>
        </is>
      </c>
    </row>
    <row r="12">
      <c r="A12" s="2" t="n">
        <v>11</v>
      </c>
      <c r="B12" s="3" t="inlineStr">
        <is>
          <t>高欣彤</t>
        </is>
      </c>
      <c r="C12" s="3" t="inlineStr">
        <is>
          <t>云栖智能</t>
        </is>
      </c>
      <c r="D12" s="3" t="inlineStr">
        <is>
          <t>CTO</t>
        </is>
      </c>
      <c r="E12" s="3" t="inlineStr">
        <is>
          <t>gaoxintong11@yunqi-ai.com</t>
        </is>
      </c>
      <c r="F12" s="2" t="inlineStr">
        <is>
          <t>13613738789</t>
        </is>
      </c>
      <c r="G12" s="2" t="inlineStr">
        <is>
          <t>VIP</t>
        </is>
      </c>
      <c r="H12" s="2" t="inlineStr">
        <is>
          <t>清真</t>
        </is>
      </c>
      <c r="I12" s="2" t="inlineStr">
        <is>
          <t>M</t>
        </is>
      </c>
      <c r="J12" s="4" t="n">
        <v>46145</v>
      </c>
      <c r="K12" s="2" t="inlineStr">
        <is>
          <t>已签到</t>
        </is>
      </c>
    </row>
    <row r="13">
      <c r="A13" s="2" t="n">
        <v>12</v>
      </c>
      <c r="B13" s="3" t="inlineStr">
        <is>
          <t>高宇丽</t>
        </is>
      </c>
      <c r="C13" s="3" t="inlineStr">
        <is>
          <t>智汇云</t>
        </is>
      </c>
      <c r="D13" s="3" t="inlineStr">
        <is>
          <t>技术副总裁</t>
        </is>
      </c>
      <c r="E13" s="3" t="inlineStr">
        <is>
          <t>gaoyuli12@zhihui-cloud.com</t>
        </is>
      </c>
      <c r="F13" s="2" t="inlineStr">
        <is>
          <t>15827394901</t>
        </is>
      </c>
      <c r="G13" s="2" t="inlineStr">
        <is>
          <t>VIP</t>
        </is>
      </c>
      <c r="H13" s="2" t="inlineStr">
        <is>
          <t>标准</t>
        </is>
      </c>
      <c r="I13" s="2" t="inlineStr">
        <is>
          <t>M</t>
        </is>
      </c>
      <c r="J13" s="4" t="n">
        <v>46135</v>
      </c>
      <c r="K13" s="2" t="inlineStr">
        <is>
          <t>已签到</t>
        </is>
      </c>
    </row>
    <row r="14">
      <c r="A14" s="2" t="n">
        <v>13</v>
      </c>
      <c r="B14" s="3" t="inlineStr">
        <is>
          <t>周军</t>
        </is>
      </c>
      <c r="C14" s="3" t="inlineStr">
        <is>
          <t>启元软件</t>
        </is>
      </c>
      <c r="D14" s="3" t="inlineStr">
        <is>
          <t>首席架构师</t>
        </is>
      </c>
      <c r="E14" s="3" t="inlineStr">
        <is>
          <t>zhoujun13@qiyuan-soft.com</t>
        </is>
      </c>
      <c r="F14" s="2" t="inlineStr">
        <is>
          <t>18870690752</t>
        </is>
      </c>
      <c r="G14" s="2" t="inlineStr">
        <is>
          <t>VIP</t>
        </is>
      </c>
      <c r="H14" s="2" t="inlineStr">
        <is>
          <t>标准</t>
        </is>
      </c>
      <c r="I14" s="2" t="inlineStr">
        <is>
          <t>L</t>
        </is>
      </c>
      <c r="J14" s="4" t="n">
        <v>46156</v>
      </c>
      <c r="K14" s="2" t="inlineStr">
        <is>
          <t>已签到</t>
        </is>
      </c>
    </row>
    <row r="15">
      <c r="A15" s="2" t="n">
        <v>14</v>
      </c>
      <c r="B15" s="3" t="inlineStr">
        <is>
          <t>周娟</t>
        </is>
      </c>
      <c r="C15" s="3" t="inlineStr">
        <is>
          <t>星瀚科技</t>
        </is>
      </c>
      <c r="D15" s="3" t="inlineStr">
        <is>
          <t>技术副总裁</t>
        </is>
      </c>
      <c r="E15" s="3" t="inlineStr">
        <is>
          <t>zhoujuan14@xinghan-tech.com</t>
        </is>
      </c>
      <c r="F15" s="2" t="inlineStr">
        <is>
          <t>18680956583</t>
        </is>
      </c>
      <c r="G15" s="2" t="inlineStr">
        <is>
          <t>VIP</t>
        </is>
      </c>
      <c r="H15" s="2" t="inlineStr">
        <is>
          <t>素食</t>
        </is>
      </c>
      <c r="I15" s="2" t="inlineStr">
        <is>
          <t>L</t>
        </is>
      </c>
      <c r="J15" s="4" t="n">
        <v>46134</v>
      </c>
      <c r="K15" s="2" t="inlineStr">
        <is>
          <t>已签到</t>
        </is>
      </c>
    </row>
    <row r="16">
      <c r="A16" s="2" t="n">
        <v>15</v>
      </c>
      <c r="B16" s="3" t="inlineStr">
        <is>
          <t>唐宇泽</t>
        </is>
      </c>
      <c r="C16" s="3" t="inlineStr">
        <is>
          <t>智汇云</t>
        </is>
      </c>
      <c r="D16" s="3" t="inlineStr">
        <is>
          <t>研发总监</t>
        </is>
      </c>
      <c r="E16" s="3" t="inlineStr">
        <is>
          <t>tangyuze15@zhihui-cloud.com</t>
        </is>
      </c>
      <c r="F16" s="2" t="inlineStr">
        <is>
          <t>13552106625</t>
        </is>
      </c>
      <c r="G16" s="2" t="inlineStr">
        <is>
          <t>VIP</t>
        </is>
      </c>
      <c r="H16" s="2" t="inlineStr">
        <is>
          <t>标准</t>
        </is>
      </c>
      <c r="I16" s="2" t="inlineStr">
        <is>
          <t>XL</t>
        </is>
      </c>
      <c r="J16" s="4" t="n">
        <v>46115</v>
      </c>
      <c r="K16" s="2" t="inlineStr">
        <is>
          <t>已签到</t>
        </is>
      </c>
    </row>
    <row r="17">
      <c r="A17" s="2" t="n">
        <v>16</v>
      </c>
      <c r="B17" s="3" t="inlineStr">
        <is>
          <t>何彤秀</t>
        </is>
      </c>
      <c r="C17" s="3" t="inlineStr">
        <is>
          <t>极光数据</t>
        </is>
      </c>
      <c r="D17" s="3" t="inlineStr">
        <is>
          <t>技术合伙人</t>
        </is>
      </c>
      <c r="E17" s="3" t="inlineStr">
        <is>
          <t>hetongxiu16@aurora-data.cn</t>
        </is>
      </c>
      <c r="F17" s="2" t="inlineStr">
        <is>
          <t>18617887175</t>
        </is>
      </c>
      <c r="G17" s="2" t="inlineStr">
        <is>
          <t>VIP</t>
        </is>
      </c>
      <c r="H17" s="2" t="inlineStr">
        <is>
          <t>标准</t>
        </is>
      </c>
      <c r="I17" s="2" t="inlineStr">
        <is>
          <t>L</t>
        </is>
      </c>
      <c r="J17" s="4" t="n">
        <v>46153</v>
      </c>
      <c r="K17" s="2" t="inlineStr">
        <is>
          <t>未签到</t>
        </is>
      </c>
    </row>
    <row r="18">
      <c r="A18" s="2" t="n">
        <v>17</v>
      </c>
      <c r="B18" s="3" t="inlineStr">
        <is>
          <t>林睿</t>
        </is>
      </c>
      <c r="C18" s="3" t="inlineStr">
        <is>
          <t>云栖智能</t>
        </is>
      </c>
      <c r="D18" s="3" t="inlineStr">
        <is>
          <t>技术合伙人</t>
        </is>
      </c>
      <c r="E18" s="3" t="inlineStr">
        <is>
          <t>linrui17@yunqi-ai.com</t>
        </is>
      </c>
      <c r="F18" s="2" t="inlineStr">
        <is>
          <t>13530676599</t>
        </is>
      </c>
      <c r="G18" s="2" t="inlineStr">
        <is>
          <t>VIP</t>
        </is>
      </c>
      <c r="H18" s="2" t="inlineStr">
        <is>
          <t>清真</t>
        </is>
      </c>
      <c r="I18" s="2" t="inlineStr">
        <is>
          <t>XL</t>
        </is>
      </c>
      <c r="J18" s="4" t="n">
        <v>46120</v>
      </c>
      <c r="K18" s="2" t="inlineStr">
        <is>
          <t>已签到</t>
        </is>
      </c>
    </row>
    <row r="19">
      <c r="A19" s="2" t="n">
        <v>18</v>
      </c>
      <c r="B19" s="3" t="inlineStr">
        <is>
          <t>黄涵军</t>
        </is>
      </c>
      <c r="C19" s="3" t="inlineStr">
        <is>
          <t>万象云</t>
        </is>
      </c>
      <c r="D19" s="3" t="inlineStr">
        <is>
          <t>首席架构师</t>
        </is>
      </c>
      <c r="E19" s="3" t="inlineStr">
        <is>
          <t>huanghanjun18@wanxiang-cloud.cn</t>
        </is>
      </c>
      <c r="F19" s="2" t="inlineStr">
        <is>
          <t>18859137941</t>
        </is>
      </c>
      <c r="G19" s="2" t="inlineStr">
        <is>
          <t>VIP</t>
        </is>
      </c>
      <c r="H19" s="2" t="inlineStr">
        <is>
          <t>素食</t>
        </is>
      </c>
      <c r="I19" s="2" t="inlineStr">
        <is>
          <t>XXL</t>
        </is>
      </c>
      <c r="J19" s="4" t="n">
        <v>46155</v>
      </c>
      <c r="K19" s="2" t="inlineStr">
        <is>
          <t>已签到</t>
        </is>
      </c>
    </row>
    <row r="20">
      <c r="A20" s="2" t="n">
        <v>19</v>
      </c>
      <c r="B20" s="3" t="inlineStr">
        <is>
          <t>王博</t>
        </is>
      </c>
      <c r="C20" s="3" t="inlineStr">
        <is>
          <t>智汇云</t>
        </is>
      </c>
      <c r="D20" s="3" t="inlineStr">
        <is>
          <t>研发总监</t>
        </is>
      </c>
      <c r="E20" s="3" t="inlineStr">
        <is>
          <t>wangbo19@zhihui-cloud.com</t>
        </is>
      </c>
      <c r="F20" s="2" t="inlineStr">
        <is>
          <t>18840553935</t>
        </is>
      </c>
      <c r="G20" s="2" t="inlineStr">
        <is>
          <t>VIP</t>
        </is>
      </c>
      <c r="H20" s="2" t="inlineStr">
        <is>
          <t>标准</t>
        </is>
      </c>
      <c r="I20" s="2" t="inlineStr">
        <is>
          <t>M</t>
        </is>
      </c>
      <c r="J20" s="4" t="n">
        <v>46091</v>
      </c>
      <c r="K20" s="2" t="inlineStr">
        <is>
          <t>已签到</t>
        </is>
      </c>
    </row>
    <row r="21">
      <c r="A21" s="2" t="n">
        <v>20</v>
      </c>
      <c r="B21" s="3" t="inlineStr">
        <is>
          <t>孙涛磊</t>
        </is>
      </c>
      <c r="C21" s="3" t="inlineStr">
        <is>
          <t>万象云</t>
        </is>
      </c>
      <c r="D21" s="3" t="inlineStr">
        <is>
          <t>研发总监</t>
        </is>
      </c>
      <c r="E21" s="3" t="inlineStr">
        <is>
          <t>suntaolei20@wanxiang-cloud.cn</t>
        </is>
      </c>
      <c r="F21" s="2" t="inlineStr">
        <is>
          <t>15830113290</t>
        </is>
      </c>
      <c r="G21" s="2" t="inlineStr">
        <is>
          <t>VIP</t>
        </is>
      </c>
      <c r="H21" s="2" t="inlineStr">
        <is>
          <t>标准</t>
        </is>
      </c>
      <c r="I21" s="2" t="inlineStr">
        <is>
          <t>L</t>
        </is>
      </c>
      <c r="J21" s="4" t="n">
        <v>46113</v>
      </c>
      <c r="K21" s="2" t="inlineStr">
        <is>
          <t>请假</t>
        </is>
      </c>
    </row>
    <row r="22">
      <c r="A22" s="2" t="n">
        <v>21</v>
      </c>
      <c r="B22" s="3" t="inlineStr">
        <is>
          <t>蒋伟</t>
        </is>
      </c>
      <c r="C22" s="3" t="inlineStr">
        <is>
          <t>极光数据</t>
        </is>
      </c>
      <c r="D22" s="3" t="inlineStr">
        <is>
          <t>技术合伙人</t>
        </is>
      </c>
      <c r="E22" s="3" t="inlineStr">
        <is>
          <t>jiangwei21@aurora-data.cn</t>
        </is>
      </c>
      <c r="F22" s="2" t="inlineStr">
        <is>
          <t>13569952367</t>
        </is>
      </c>
      <c r="G22" s="2" t="inlineStr">
        <is>
          <t>VIP</t>
        </is>
      </c>
      <c r="H22" s="2" t="inlineStr">
        <is>
          <t>标准</t>
        </is>
      </c>
      <c r="I22" s="2" t="inlineStr">
        <is>
          <t>L</t>
        </is>
      </c>
      <c r="J22" s="4" t="n">
        <v>46156</v>
      </c>
      <c r="K22" s="2" t="inlineStr">
        <is>
          <t>已签到</t>
        </is>
      </c>
    </row>
    <row r="23">
      <c r="A23" s="2" t="n">
        <v>22</v>
      </c>
      <c r="B23" s="3" t="inlineStr">
        <is>
          <t>林勇</t>
        </is>
      </c>
      <c r="C23" s="3" t="inlineStr">
        <is>
          <t>领航智造</t>
        </is>
      </c>
      <c r="D23" s="3" t="inlineStr">
        <is>
          <t>技术合伙人</t>
        </is>
      </c>
      <c r="E23" s="3" t="inlineStr">
        <is>
          <t>linyong22@navi-mfg.com</t>
        </is>
      </c>
      <c r="F23" s="2" t="inlineStr">
        <is>
          <t>13546932028</t>
        </is>
      </c>
      <c r="G23" s="2" t="inlineStr">
        <is>
          <t>VIP</t>
        </is>
      </c>
      <c r="H23" s="2" t="inlineStr">
        <is>
          <t>标准</t>
        </is>
      </c>
      <c r="I23" s="2" t="inlineStr">
        <is>
          <t>L</t>
        </is>
      </c>
      <c r="J23" s="4" t="n">
        <v>46149</v>
      </c>
      <c r="K23" s="2" t="inlineStr">
        <is>
          <t>已签到</t>
        </is>
      </c>
    </row>
    <row r="24">
      <c r="A24" s="2" t="n">
        <v>23</v>
      </c>
      <c r="B24" s="3" t="inlineStr">
        <is>
          <t>唐泽</t>
        </is>
      </c>
      <c r="C24" s="3" t="inlineStr">
        <is>
          <t>蓝图网络</t>
        </is>
      </c>
      <c r="D24" s="3" t="inlineStr">
        <is>
          <t>CTO</t>
        </is>
      </c>
      <c r="E24" s="3" t="inlineStr">
        <is>
          <t>tangze23@lantoo.net</t>
        </is>
      </c>
      <c r="F24" s="2" t="inlineStr">
        <is>
          <t>13580355594</t>
        </is>
      </c>
      <c r="G24" s="2" t="inlineStr">
        <is>
          <t>VIP</t>
        </is>
      </c>
      <c r="H24" s="2" t="inlineStr">
        <is>
          <t>标准</t>
        </is>
      </c>
      <c r="I24" s="2" t="inlineStr">
        <is>
          <t>M</t>
        </is>
      </c>
      <c r="J24" s="4" t="n">
        <v>46114</v>
      </c>
      <c r="K24" s="2" t="inlineStr">
        <is>
          <t>已签到</t>
        </is>
      </c>
    </row>
    <row r="25">
      <c r="A25" s="2" t="n">
        <v>24</v>
      </c>
      <c r="B25" s="3" t="inlineStr">
        <is>
          <t>郭芳平</t>
        </is>
      </c>
      <c r="C25" s="3" t="inlineStr">
        <is>
          <t>深蓝计算</t>
        </is>
      </c>
      <c r="D25" s="3" t="inlineStr">
        <is>
          <t>首席架构师</t>
        </is>
      </c>
      <c r="E25" s="3" t="inlineStr">
        <is>
          <t>guofangping24@deepblue-comp.com</t>
        </is>
      </c>
      <c r="F25" s="2" t="inlineStr">
        <is>
          <t>13588576481</t>
        </is>
      </c>
      <c r="G25" s="2" t="inlineStr">
        <is>
          <t>VIP</t>
        </is>
      </c>
      <c r="H25" s="2" t="inlineStr">
        <is>
          <t>标准</t>
        </is>
      </c>
      <c r="I25" s="2" t="inlineStr">
        <is>
          <t>L</t>
        </is>
      </c>
      <c r="J25" s="4" t="n">
        <v>46103</v>
      </c>
      <c r="K25" s="2" t="inlineStr">
        <is>
          <t>已签到</t>
        </is>
      </c>
    </row>
    <row r="26">
      <c r="A26" s="2" t="n">
        <v>25</v>
      </c>
      <c r="B26" s="3" t="inlineStr">
        <is>
          <t>谢琪娟</t>
        </is>
      </c>
      <c r="C26" s="3" t="inlineStr">
        <is>
          <t>星瀚科技</t>
        </is>
      </c>
      <c r="D26" s="3" t="inlineStr">
        <is>
          <t>首席架构师</t>
        </is>
      </c>
      <c r="E26" s="3" t="inlineStr">
        <is>
          <t>xieqijuan25@xinghan-tech.com</t>
        </is>
      </c>
      <c r="F26" s="2" t="inlineStr">
        <is>
          <t>13677158318</t>
        </is>
      </c>
      <c r="G26" s="2" t="inlineStr">
        <is>
          <t>VIP</t>
        </is>
      </c>
      <c r="H26" s="2" t="inlineStr">
        <is>
          <t>标准</t>
        </is>
      </c>
      <c r="I26" s="2" t="inlineStr">
        <is>
          <t>M</t>
        </is>
      </c>
      <c r="J26" s="4" t="n">
        <v>46141</v>
      </c>
      <c r="K26" s="2" t="inlineStr">
        <is>
          <t>已签到</t>
        </is>
      </c>
    </row>
    <row r="27">
      <c r="A27" s="2" t="n">
        <v>26</v>
      </c>
      <c r="B27" s="3" t="inlineStr">
        <is>
          <t>董超</t>
        </is>
      </c>
      <c r="C27" s="3" t="inlineStr">
        <is>
          <t>云栖智能</t>
        </is>
      </c>
      <c r="D27" s="3" t="inlineStr">
        <is>
          <t>技术合伙人</t>
        </is>
      </c>
      <c r="E27" s="3" t="inlineStr">
        <is>
          <t>dongchao26@yunqi-ai.com</t>
        </is>
      </c>
      <c r="F27" s="2" t="inlineStr">
        <is>
          <t>13944178736</t>
        </is>
      </c>
      <c r="G27" s="2" t="inlineStr">
        <is>
          <t>VIP</t>
        </is>
      </c>
      <c r="H27" s="2" t="inlineStr">
        <is>
          <t>素食</t>
        </is>
      </c>
      <c r="I27" s="2" t="inlineStr">
        <is>
          <t>L</t>
        </is>
      </c>
      <c r="J27" s="4" t="n">
        <v>46148</v>
      </c>
      <c r="K27" s="2" t="inlineStr">
        <is>
          <t>已签到</t>
        </is>
      </c>
    </row>
    <row r="28">
      <c r="A28" s="2" t="n">
        <v>27</v>
      </c>
      <c r="B28" s="3" t="inlineStr">
        <is>
          <t>黄洋</t>
        </is>
      </c>
      <c r="C28" s="3" t="inlineStr">
        <is>
          <t>智汇云</t>
        </is>
      </c>
      <c r="D28" s="3" t="inlineStr">
        <is>
          <t>技术副总裁</t>
        </is>
      </c>
      <c r="E28" s="3" t="inlineStr">
        <is>
          <t>huangyang27@zhihui-cloud.com</t>
        </is>
      </c>
      <c r="F28" s="2" t="inlineStr">
        <is>
          <t>18641863750</t>
        </is>
      </c>
      <c r="G28" s="2" t="inlineStr">
        <is>
          <t>VIP</t>
        </is>
      </c>
      <c r="H28" s="2" t="inlineStr">
        <is>
          <t>标准</t>
        </is>
      </c>
      <c r="I28" s="2" t="inlineStr">
        <is>
          <t>L</t>
        </is>
      </c>
      <c r="J28" s="4" t="n">
        <v>46097</v>
      </c>
      <c r="K28" s="2" t="inlineStr">
        <is>
          <t>已签到</t>
        </is>
      </c>
    </row>
    <row r="29">
      <c r="A29" s="2" t="n">
        <v>28</v>
      </c>
      <c r="B29" s="3" t="inlineStr">
        <is>
          <t>冯嘉杰</t>
        </is>
      </c>
      <c r="C29" s="3" t="inlineStr">
        <is>
          <t>智汇云</t>
        </is>
      </c>
      <c r="D29" s="3" t="inlineStr">
        <is>
          <t>CTO</t>
        </is>
      </c>
      <c r="E29" s="3" t="inlineStr">
        <is>
          <t>fengjiajie28@zhihui-cloud.com</t>
        </is>
      </c>
      <c r="F29" s="2" t="inlineStr">
        <is>
          <t>15841770205</t>
        </is>
      </c>
      <c r="G29" s="2" t="inlineStr">
        <is>
          <t>VIP</t>
        </is>
      </c>
      <c r="H29" s="2" t="inlineStr">
        <is>
          <t>清真</t>
        </is>
      </c>
      <c r="I29" s="2" t="inlineStr">
        <is>
          <t>M</t>
        </is>
      </c>
      <c r="J29" s="4" t="n">
        <v>46152</v>
      </c>
      <c r="K29" s="2" t="inlineStr">
        <is>
          <t>已签到</t>
        </is>
      </c>
    </row>
    <row r="30">
      <c r="A30" s="2" t="n">
        <v>29</v>
      </c>
      <c r="B30" s="3" t="inlineStr">
        <is>
          <t>赵洋泽</t>
        </is>
      </c>
      <c r="C30" s="3" t="inlineStr">
        <is>
          <t>星瀚科技</t>
        </is>
      </c>
      <c r="D30" s="3" t="inlineStr">
        <is>
          <t>研发总监</t>
        </is>
      </c>
      <c r="E30" s="3" t="inlineStr">
        <is>
          <t>zhaoyangze29@xinghan-tech.com</t>
        </is>
      </c>
      <c r="F30" s="2" t="inlineStr">
        <is>
          <t>13836242266</t>
        </is>
      </c>
      <c r="G30" s="2" t="inlineStr">
        <is>
          <t>VIP</t>
        </is>
      </c>
      <c r="H30" s="2" t="inlineStr">
        <is>
          <t>素食</t>
        </is>
      </c>
      <c r="I30" s="2" t="inlineStr">
        <is>
          <t>M</t>
        </is>
      </c>
      <c r="J30" s="4" t="n">
        <v>46120</v>
      </c>
      <c r="K30" s="2" t="inlineStr">
        <is>
          <t>已签到</t>
        </is>
      </c>
    </row>
    <row r="31">
      <c r="A31" s="2" t="n">
        <v>30</v>
      </c>
      <c r="B31" s="3" t="inlineStr">
        <is>
          <t>吴磊</t>
        </is>
      </c>
      <c r="C31" s="3" t="inlineStr">
        <is>
          <t>天工智能</t>
        </is>
      </c>
      <c r="D31" s="3" t="inlineStr">
        <is>
          <t>技术合伙人</t>
        </is>
      </c>
      <c r="E31" s="3" t="inlineStr">
        <is>
          <t>wulei30@tiangong-ai.com</t>
        </is>
      </c>
      <c r="F31" s="2" t="inlineStr">
        <is>
          <t>13978473381</t>
        </is>
      </c>
      <c r="G31" s="2" t="inlineStr">
        <is>
          <t>VIP</t>
        </is>
      </c>
      <c r="H31" s="2" t="inlineStr">
        <is>
          <t>素食</t>
        </is>
      </c>
      <c r="I31" s="2" t="inlineStr">
        <is>
          <t>XL</t>
        </is>
      </c>
      <c r="J31" s="4" t="n">
        <v>46133</v>
      </c>
      <c r="K31" s="2" t="inlineStr">
        <is>
          <t>已签到</t>
        </is>
      </c>
    </row>
    <row r="32">
      <c r="A32" s="2" t="n">
        <v>31</v>
      </c>
      <c r="B32" s="3" t="inlineStr">
        <is>
          <t>郑明</t>
        </is>
      </c>
      <c r="C32" s="3" t="inlineStr">
        <is>
          <t>领航智造</t>
        </is>
      </c>
      <c r="D32" s="3" t="inlineStr">
        <is>
          <t>前端开发</t>
        </is>
      </c>
      <c r="E32" s="3" t="inlineStr">
        <is>
          <t>zhengming31@navi-mfg.com</t>
        </is>
      </c>
      <c r="F32" s="2" t="inlineStr">
        <is>
          <t>13957340592</t>
        </is>
      </c>
      <c r="G32" s="2" t="inlineStr">
        <is>
          <t>标准</t>
        </is>
      </c>
      <c r="H32" s="2" t="inlineStr">
        <is>
          <t>无麸质</t>
        </is>
      </c>
      <c r="I32" s="2" t="inlineStr">
        <is>
          <t>S</t>
        </is>
      </c>
      <c r="J32" s="4" t="n">
        <v>46095</v>
      </c>
      <c r="K32" s="2" t="inlineStr">
        <is>
          <t>已签到</t>
        </is>
      </c>
    </row>
    <row r="33">
      <c r="A33" s="2" t="n">
        <v>32</v>
      </c>
      <c r="B33" s="3" t="inlineStr">
        <is>
          <t>梁艳伟</t>
        </is>
      </c>
      <c r="C33" s="3" t="inlineStr">
        <is>
          <t>蜂巢科技</t>
        </is>
      </c>
      <c r="D33" s="3" t="inlineStr">
        <is>
          <t>后端开发</t>
        </is>
      </c>
      <c r="E33" s="3" t="inlineStr">
        <is>
          <t>liangyanwei32@hive-tech.cn</t>
        </is>
      </c>
      <c r="F33" s="2" t="inlineStr">
        <is>
          <t>13553999027</t>
        </is>
      </c>
      <c r="G33" s="2" t="inlineStr">
        <is>
          <t>标准</t>
        </is>
      </c>
      <c r="H33" s="2" t="inlineStr">
        <is>
          <t>标准</t>
        </is>
      </c>
      <c r="I33" s="2" t="inlineStr">
        <is>
          <t>S</t>
        </is>
      </c>
      <c r="J33" s="4" t="n">
        <v>46125</v>
      </c>
      <c r="K33" s="2" t="inlineStr">
        <is>
          <t>已签到</t>
        </is>
      </c>
    </row>
    <row r="34">
      <c r="A34" s="2" t="n">
        <v>33</v>
      </c>
      <c r="B34" s="3" t="inlineStr">
        <is>
          <t>周宇</t>
        </is>
      </c>
      <c r="C34" s="3" t="inlineStr">
        <is>
          <t>光合数字</t>
        </is>
      </c>
      <c r="D34" s="3" t="inlineStr">
        <is>
          <t>解决方案架构师</t>
        </is>
      </c>
      <c r="E34" s="3" t="inlineStr">
        <is>
          <t>zhouyu33@photosyn-digital.com</t>
        </is>
      </c>
      <c r="F34" s="2" t="inlineStr">
        <is>
          <t>15881233494</t>
        </is>
      </c>
      <c r="G34" s="2" t="inlineStr">
        <is>
          <t>标准</t>
        </is>
      </c>
      <c r="H34" s="2" t="inlineStr">
        <is>
          <t>清真</t>
        </is>
      </c>
      <c r="I34" s="2" t="inlineStr">
        <is>
          <t>M</t>
        </is>
      </c>
      <c r="J34" s="4" t="n">
        <v>46150</v>
      </c>
      <c r="K34" s="2" t="inlineStr">
        <is>
          <t>已签到</t>
        </is>
      </c>
    </row>
    <row r="35">
      <c r="A35" s="2" t="n">
        <v>34</v>
      </c>
      <c r="B35" s="3" t="inlineStr">
        <is>
          <t>徐敏文</t>
        </is>
      </c>
      <c r="C35" s="3" t="inlineStr">
        <is>
          <t>云栖智能</t>
        </is>
      </c>
      <c r="D35" s="3" t="inlineStr">
        <is>
          <t>全栈工程师</t>
        </is>
      </c>
      <c r="E35" s="3" t="inlineStr">
        <is>
          <t>xuminwen34@yunqi-ai.com</t>
        </is>
      </c>
      <c r="F35" s="2" t="inlineStr">
        <is>
          <t>18823957709</t>
        </is>
      </c>
      <c r="G35" s="2" t="inlineStr">
        <is>
          <t>标准</t>
        </is>
      </c>
      <c r="H35" s="2" t="inlineStr">
        <is>
          <t>标准</t>
        </is>
      </c>
      <c r="I35" s="2" t="inlineStr">
        <is>
          <t>L</t>
        </is>
      </c>
      <c r="J35" s="4" t="n">
        <v>46132</v>
      </c>
      <c r="K35" s="2" t="inlineStr">
        <is>
          <t>已签到</t>
        </is>
      </c>
    </row>
    <row r="36">
      <c r="A36" s="2" t="n">
        <v>35</v>
      </c>
      <c r="B36" s="3" t="inlineStr">
        <is>
          <t>潘涵杰</t>
        </is>
      </c>
      <c r="C36" s="3" t="inlineStr">
        <is>
          <t>极光数据</t>
        </is>
      </c>
      <c r="D36" s="3" t="inlineStr">
        <is>
          <t>后端开发</t>
        </is>
      </c>
      <c r="E36" s="3" t="inlineStr">
        <is>
          <t>panhanjie35@aurora-data.cn</t>
        </is>
      </c>
      <c r="F36" s="2" t="inlineStr">
        <is>
          <t>13553787603</t>
        </is>
      </c>
      <c r="G36" s="2" t="inlineStr">
        <is>
          <t>标准</t>
        </is>
      </c>
      <c r="H36" s="2" t="inlineStr">
        <is>
          <t>标准</t>
        </is>
      </c>
      <c r="I36" s="2" t="inlineStr">
        <is>
          <t>XXL</t>
        </is>
      </c>
      <c r="J36" s="4" t="n">
        <v>46154</v>
      </c>
      <c r="K36" s="2" t="inlineStr">
        <is>
          <t>请假</t>
        </is>
      </c>
    </row>
    <row r="37">
      <c r="A37" s="2" t="n">
        <v>36</v>
      </c>
      <c r="B37" s="3" t="inlineStr">
        <is>
          <t>刘涵</t>
        </is>
      </c>
      <c r="C37" s="3" t="inlineStr">
        <is>
          <t>云栖智能</t>
        </is>
      </c>
      <c r="D37" s="3" t="inlineStr">
        <is>
          <t>测试工程师</t>
        </is>
      </c>
      <c r="E37" s="3" t="inlineStr">
        <is>
          <t>liuhan36@yunqi-ai.com</t>
        </is>
      </c>
      <c r="F37" s="2" t="inlineStr">
        <is>
          <t>13589173294</t>
        </is>
      </c>
      <c r="G37" s="2" t="inlineStr">
        <is>
          <t>标准</t>
        </is>
      </c>
      <c r="H37" s="2" t="inlineStr">
        <is>
          <t>标准</t>
        </is>
      </c>
      <c r="I37" s="2" t="inlineStr">
        <is>
          <t>L</t>
        </is>
      </c>
      <c r="J37" s="4" t="n">
        <v>46152</v>
      </c>
      <c r="K37" s="2" t="inlineStr">
        <is>
          <t>已签到</t>
        </is>
      </c>
    </row>
    <row r="38">
      <c r="A38" s="2" t="n">
        <v>37</v>
      </c>
      <c r="B38" s="3" t="inlineStr">
        <is>
          <t>张彤</t>
        </is>
      </c>
      <c r="C38" s="3" t="inlineStr">
        <is>
          <t>星瀚科技</t>
        </is>
      </c>
      <c r="D38" s="3" t="inlineStr">
        <is>
          <t>DevOps 工程师</t>
        </is>
      </c>
      <c r="E38" s="3" t="inlineStr">
        <is>
          <t>zhangtong37@xinghan-tech.com</t>
        </is>
      </c>
      <c r="F38" s="2" t="inlineStr">
        <is>
          <t>18805985672</t>
        </is>
      </c>
      <c r="G38" s="2" t="inlineStr">
        <is>
          <t>标准</t>
        </is>
      </c>
      <c r="H38" s="2" t="inlineStr">
        <is>
          <t>标准</t>
        </is>
      </c>
      <c r="I38" s="2" t="inlineStr">
        <is>
          <t>L</t>
        </is>
      </c>
      <c r="J38" s="4" t="n">
        <v>46120</v>
      </c>
      <c r="K38" s="2" t="inlineStr">
        <is>
          <t>已签到</t>
        </is>
      </c>
    </row>
    <row r="39">
      <c r="A39" s="2" t="n">
        <v>38</v>
      </c>
      <c r="B39" s="3" t="inlineStr">
        <is>
          <t>林勇明</t>
        </is>
      </c>
      <c r="C39" s="3" t="inlineStr">
        <is>
          <t>智汇云</t>
        </is>
      </c>
      <c r="D39" s="3" t="inlineStr">
        <is>
          <t>全栈工程师</t>
        </is>
      </c>
      <c r="E39" s="3" t="inlineStr">
        <is>
          <t>linyongming38@zhihui-cloud.com</t>
        </is>
      </c>
      <c r="F39" s="2" t="inlineStr">
        <is>
          <t>15926378856</t>
        </is>
      </c>
      <c r="G39" s="2" t="inlineStr">
        <is>
          <t>标准</t>
        </is>
      </c>
      <c r="H39" s="2" t="inlineStr">
        <is>
          <t>标准</t>
        </is>
      </c>
      <c r="I39" s="2" t="inlineStr">
        <is>
          <t>M</t>
        </is>
      </c>
      <c r="J39" s="4" t="n">
        <v>46126</v>
      </c>
      <c r="K39" s="2" t="inlineStr">
        <is>
          <t>已签到</t>
        </is>
      </c>
    </row>
    <row r="40">
      <c r="A40" s="2" t="n">
        <v>39</v>
      </c>
      <c r="B40" s="3" t="inlineStr">
        <is>
          <t>唐艳浩</t>
        </is>
      </c>
      <c r="C40" s="3" t="inlineStr">
        <is>
          <t>星环动力</t>
        </is>
      </c>
      <c r="D40" s="3" t="inlineStr">
        <is>
          <t>前端开发</t>
        </is>
      </c>
      <c r="E40" s="3" t="inlineStr">
        <is>
          <t>tangyanhao39@stellar-ring.com</t>
        </is>
      </c>
      <c r="F40" s="2" t="inlineStr">
        <is>
          <t>13587636026</t>
        </is>
      </c>
      <c r="G40" s="2" t="inlineStr">
        <is>
          <t>标准</t>
        </is>
      </c>
      <c r="H40" s="2" t="inlineStr">
        <is>
          <t>标准</t>
        </is>
      </c>
      <c r="I40" s="2" t="inlineStr">
        <is>
          <t>L</t>
        </is>
      </c>
      <c r="J40" s="4" t="n">
        <v>46129</v>
      </c>
      <c r="K40" s="2" t="inlineStr">
        <is>
          <t>已签到</t>
        </is>
      </c>
    </row>
    <row r="41">
      <c r="A41" s="2" t="n">
        <v>40</v>
      </c>
      <c r="B41" s="3" t="inlineStr">
        <is>
          <t>马静娟</t>
        </is>
      </c>
      <c r="C41" s="3" t="inlineStr">
        <is>
          <t>星瀚科技</t>
        </is>
      </c>
      <c r="D41" s="3" t="inlineStr">
        <is>
          <t>技术经理</t>
        </is>
      </c>
      <c r="E41" s="3" t="inlineStr">
        <is>
          <t>majingjuan40@xinghan-tech.com</t>
        </is>
      </c>
      <c r="F41" s="2" t="inlineStr">
        <is>
          <t>13681981729</t>
        </is>
      </c>
      <c r="G41" s="2" t="inlineStr">
        <is>
          <t>标准</t>
        </is>
      </c>
      <c r="H41" s="2" t="inlineStr">
        <is>
          <t>标准</t>
        </is>
      </c>
      <c r="I41" s="2" t="inlineStr">
        <is>
          <t>L</t>
        </is>
      </c>
      <c r="J41" s="4" t="n">
        <v>46132</v>
      </c>
      <c r="K41" s="2" t="inlineStr">
        <is>
          <t>已签到</t>
        </is>
      </c>
    </row>
    <row r="42">
      <c r="A42" s="2" t="n">
        <v>41</v>
      </c>
      <c r="B42" s="3" t="inlineStr">
        <is>
          <t>徐平</t>
        </is>
      </c>
      <c r="C42" s="3" t="inlineStr">
        <is>
          <t>蓝图网络</t>
        </is>
      </c>
      <c r="D42" s="3" t="inlineStr">
        <is>
          <t>算法工程师</t>
        </is>
      </c>
      <c r="E42" s="3" t="inlineStr">
        <is>
          <t>xuping41@lantoo.net</t>
        </is>
      </c>
      <c r="F42" s="2" t="inlineStr">
        <is>
          <t>15996139562</t>
        </is>
      </c>
      <c r="G42" s="2" t="inlineStr">
        <is>
          <t>标准</t>
        </is>
      </c>
      <c r="H42" s="2" t="inlineStr">
        <is>
          <t>标准</t>
        </is>
      </c>
      <c r="I42" s="2" t="inlineStr">
        <is>
          <t>L</t>
        </is>
      </c>
      <c r="J42" s="4" t="n">
        <v>46150</v>
      </c>
      <c r="K42" s="2" t="inlineStr">
        <is>
          <t>已签到</t>
        </is>
      </c>
    </row>
    <row r="43">
      <c r="A43" s="2" t="n">
        <v>42</v>
      </c>
      <c r="B43" s="3" t="inlineStr">
        <is>
          <t>宋浩杰</t>
        </is>
      </c>
      <c r="C43" s="3" t="inlineStr">
        <is>
          <t>领航智造</t>
        </is>
      </c>
      <c r="D43" s="3" t="inlineStr">
        <is>
          <t>算法工程师</t>
        </is>
      </c>
      <c r="E43" s="3" t="inlineStr">
        <is>
          <t>songhaojie42@navi-mfg.com</t>
        </is>
      </c>
      <c r="F43" s="2" t="inlineStr">
        <is>
          <t>18663361969</t>
        </is>
      </c>
      <c r="G43" s="2" t="inlineStr">
        <is>
          <t>标准</t>
        </is>
      </c>
      <c r="H43" s="2" t="inlineStr">
        <is>
          <t>素食</t>
        </is>
      </c>
      <c r="I43" s="2" t="inlineStr">
        <is>
          <t>L</t>
        </is>
      </c>
      <c r="J43" s="4" t="n">
        <v>46088</v>
      </c>
      <c r="K43" s="2" t="inlineStr">
        <is>
          <t>已签到</t>
        </is>
      </c>
    </row>
    <row r="44">
      <c r="A44" s="2" t="n">
        <v>43</v>
      </c>
      <c r="B44" s="3" t="inlineStr">
        <is>
          <t>吴艳</t>
        </is>
      </c>
      <c r="C44" s="3" t="inlineStr">
        <is>
          <t>云栖智能</t>
        </is>
      </c>
      <c r="D44" s="3" t="inlineStr">
        <is>
          <t>前端开发</t>
        </is>
      </c>
      <c r="E44" s="3" t="inlineStr">
        <is>
          <t>wuyan43@yunqi-ai.com</t>
        </is>
      </c>
      <c r="F44" s="2" t="inlineStr">
        <is>
          <t>13635120020</t>
        </is>
      </c>
      <c r="G44" s="2" t="inlineStr">
        <is>
          <t>标准</t>
        </is>
      </c>
      <c r="H44" s="2" t="inlineStr">
        <is>
          <t>标准</t>
        </is>
      </c>
      <c r="I44" s="2" t="inlineStr">
        <is>
          <t>M</t>
        </is>
      </c>
      <c r="J44" s="4" t="n">
        <v>46130</v>
      </c>
      <c r="K44" s="2" t="inlineStr">
        <is>
          <t>已签到</t>
        </is>
      </c>
    </row>
    <row r="45">
      <c r="A45" s="2" t="n">
        <v>44</v>
      </c>
      <c r="B45" s="3" t="inlineStr">
        <is>
          <t>刘娟</t>
        </is>
      </c>
      <c r="C45" s="3" t="inlineStr">
        <is>
          <t>蜂巢科技</t>
        </is>
      </c>
      <c r="D45" s="3" t="inlineStr">
        <is>
          <t>产品经理</t>
        </is>
      </c>
      <c r="E45" s="3" t="inlineStr">
        <is>
          <t>liujuan44@hive-tech.cn</t>
        </is>
      </c>
      <c r="F45" s="2" t="inlineStr">
        <is>
          <t>13575210357</t>
        </is>
      </c>
      <c r="G45" s="2" t="inlineStr">
        <is>
          <t>标准</t>
        </is>
      </c>
      <c r="H45" s="2" t="inlineStr">
        <is>
          <t>素食</t>
        </is>
      </c>
      <c r="I45" s="2" t="inlineStr">
        <is>
          <t>XL</t>
        </is>
      </c>
      <c r="J45" s="4" t="n">
        <v>46115</v>
      </c>
      <c r="K45" s="2" t="inlineStr">
        <is>
          <t>已签到</t>
        </is>
      </c>
    </row>
    <row r="46">
      <c r="A46" s="2" t="n">
        <v>45</v>
      </c>
      <c r="B46" s="3" t="inlineStr">
        <is>
          <t>郭泽伟</t>
        </is>
      </c>
      <c r="C46" s="3" t="inlineStr">
        <is>
          <t>星瀚科技</t>
        </is>
      </c>
      <c r="D46" s="3" t="inlineStr">
        <is>
          <t>前端开发</t>
        </is>
      </c>
      <c r="E46" s="3" t="inlineStr">
        <is>
          <t>guozewei45@xinghan-tech.com</t>
        </is>
      </c>
      <c r="F46" s="2" t="inlineStr">
        <is>
          <t>13517143083</t>
        </is>
      </c>
      <c r="G46" s="2" t="inlineStr">
        <is>
          <t>标准</t>
        </is>
      </c>
      <c r="H46" s="2" t="inlineStr">
        <is>
          <t>标准</t>
        </is>
      </c>
      <c r="I46" s="2" t="inlineStr">
        <is>
          <t>L</t>
        </is>
      </c>
      <c r="J46" s="4" t="n">
        <v>46156</v>
      </c>
      <c r="K46" s="2" t="inlineStr">
        <is>
          <t>已签到</t>
        </is>
      </c>
    </row>
    <row r="47">
      <c r="A47" s="2" t="n">
        <v>46</v>
      </c>
      <c r="B47" s="3" t="inlineStr">
        <is>
          <t>周文宁</t>
        </is>
      </c>
      <c r="C47" s="3" t="inlineStr">
        <is>
          <t>灵犀科技</t>
        </is>
      </c>
      <c r="D47" s="3" t="inlineStr">
        <is>
          <t>技术经理</t>
        </is>
      </c>
      <c r="E47" s="3" t="inlineStr">
        <is>
          <t>zhouwenning46@lingxi-labs.cn</t>
        </is>
      </c>
      <c r="F47" s="2" t="inlineStr">
        <is>
          <t>18827182877</t>
        </is>
      </c>
      <c r="G47" s="2" t="inlineStr">
        <is>
          <t>标准</t>
        </is>
      </c>
      <c r="H47" s="2" t="inlineStr">
        <is>
          <t>无麸质</t>
        </is>
      </c>
      <c r="I47" s="2" t="inlineStr">
        <is>
          <t>L</t>
        </is>
      </c>
      <c r="J47" s="4" t="n">
        <v>46103</v>
      </c>
      <c r="K47" s="2" t="inlineStr">
        <is>
          <t>已签到</t>
        </is>
      </c>
    </row>
    <row r="48">
      <c r="A48" s="2" t="n">
        <v>47</v>
      </c>
      <c r="B48" s="3" t="inlineStr">
        <is>
          <t>彭军伟</t>
        </is>
      </c>
      <c r="C48" s="3" t="inlineStr">
        <is>
          <t>星瀚科技</t>
        </is>
      </c>
      <c r="D48" s="3" t="inlineStr">
        <is>
          <t>数据工程师</t>
        </is>
      </c>
      <c r="E48" s="3" t="inlineStr">
        <is>
          <t>pengjunwei47@xinghan-tech.com</t>
        </is>
      </c>
      <c r="F48" s="2" t="inlineStr">
        <is>
          <t>13960024066</t>
        </is>
      </c>
      <c r="G48" s="2" t="inlineStr">
        <is>
          <t>标准</t>
        </is>
      </c>
      <c r="H48" s="2" t="inlineStr">
        <is>
          <t>素食</t>
        </is>
      </c>
      <c r="I48" s="2" t="inlineStr">
        <is>
          <t>M</t>
        </is>
      </c>
      <c r="J48" s="4" t="n">
        <v>46146</v>
      </c>
      <c r="K48" s="2" t="inlineStr">
        <is>
          <t>已签到</t>
        </is>
      </c>
    </row>
    <row r="49">
      <c r="A49" s="2" t="n">
        <v>48</v>
      </c>
      <c r="B49" s="3" t="inlineStr">
        <is>
          <t>冯浩</t>
        </is>
      </c>
      <c r="C49" s="3" t="inlineStr">
        <is>
          <t>蓝图网络</t>
        </is>
      </c>
      <c r="D49" s="3" t="inlineStr">
        <is>
          <t>数据工程师</t>
        </is>
      </c>
      <c r="E49" s="3" t="inlineStr">
        <is>
          <t>fenghao48@lantoo.net</t>
        </is>
      </c>
      <c r="F49" s="2" t="inlineStr">
        <is>
          <t>13612965743</t>
        </is>
      </c>
      <c r="G49" s="2" t="inlineStr">
        <is>
          <t>标准</t>
        </is>
      </c>
      <c r="H49" s="2" t="inlineStr">
        <is>
          <t>标准</t>
        </is>
      </c>
      <c r="I49" s="2" t="inlineStr">
        <is>
          <t>M</t>
        </is>
      </c>
      <c r="J49" s="4" t="n">
        <v>46102</v>
      </c>
      <c r="K49" s="2" t="inlineStr">
        <is>
          <t>已签到</t>
        </is>
      </c>
    </row>
    <row r="50">
      <c r="A50" s="2" t="n">
        <v>49</v>
      </c>
      <c r="B50" s="3" t="inlineStr">
        <is>
          <t>杨刚勇</t>
        </is>
      </c>
      <c r="C50" s="3" t="inlineStr">
        <is>
          <t>灵犀科技</t>
        </is>
      </c>
      <c r="D50" s="3" t="inlineStr">
        <is>
          <t>后端开发</t>
        </is>
      </c>
      <c r="E50" s="3" t="inlineStr">
        <is>
          <t>yanggangyong49@lingxi-labs.cn</t>
        </is>
      </c>
      <c r="F50" s="2" t="inlineStr">
        <is>
          <t>15849152855</t>
        </is>
      </c>
      <c r="G50" s="2" t="inlineStr">
        <is>
          <t>标准</t>
        </is>
      </c>
      <c r="H50" s="2" t="inlineStr">
        <is>
          <t>标准</t>
        </is>
      </c>
      <c r="I50" s="2" t="inlineStr">
        <is>
          <t>M</t>
        </is>
      </c>
      <c r="J50" s="4" t="n">
        <v>46102</v>
      </c>
      <c r="K50" s="2" t="inlineStr">
        <is>
          <t>未签到</t>
        </is>
      </c>
    </row>
    <row r="51">
      <c r="A51" s="2" t="n">
        <v>50</v>
      </c>
      <c r="B51" s="3" t="inlineStr">
        <is>
          <t>孙洋文</t>
        </is>
      </c>
      <c r="C51" s="3" t="inlineStr">
        <is>
          <t>星瀚科技</t>
        </is>
      </c>
      <c r="D51" s="3" t="inlineStr">
        <is>
          <t>全栈工程师</t>
        </is>
      </c>
      <c r="E51" s="3" t="inlineStr">
        <is>
          <t>sunyangwen50@xinghan-tech.com</t>
        </is>
      </c>
      <c r="F51" s="2" t="inlineStr">
        <is>
          <t>18671600666</t>
        </is>
      </c>
      <c r="G51" s="2" t="inlineStr">
        <is>
          <t>标准</t>
        </is>
      </c>
      <c r="H51" s="2" t="inlineStr">
        <is>
          <t>标准</t>
        </is>
      </c>
      <c r="I51" s="2" t="inlineStr">
        <is>
          <t>M</t>
        </is>
      </c>
      <c r="J51" s="4" t="n">
        <v>46106</v>
      </c>
      <c r="K51" s="2" t="inlineStr">
        <is>
          <t>已签到</t>
        </is>
      </c>
    </row>
    <row r="52">
      <c r="A52" s="2" t="n">
        <v>51</v>
      </c>
      <c r="B52" s="3" t="inlineStr">
        <is>
          <t>张静芳</t>
        </is>
      </c>
      <c r="C52" s="3" t="inlineStr">
        <is>
          <t>天工智能</t>
        </is>
      </c>
      <c r="D52" s="3" t="inlineStr">
        <is>
          <t>测试工程师</t>
        </is>
      </c>
      <c r="E52" s="3" t="inlineStr">
        <is>
          <t>zhangjingfang51@tiangong-ai.com</t>
        </is>
      </c>
      <c r="F52" s="2" t="inlineStr">
        <is>
          <t>13823494248</t>
        </is>
      </c>
      <c r="G52" s="2" t="inlineStr">
        <is>
          <t>标准</t>
        </is>
      </c>
      <c r="H52" s="2" t="inlineStr">
        <is>
          <t>无麸质</t>
        </is>
      </c>
      <c r="I52" s="2" t="inlineStr">
        <is>
          <t>M</t>
        </is>
      </c>
      <c r="J52" s="4" t="n">
        <v>46123</v>
      </c>
      <c r="K52" s="2" t="inlineStr">
        <is>
          <t>已签到</t>
        </is>
      </c>
    </row>
    <row r="53">
      <c r="A53" s="2" t="n">
        <v>52</v>
      </c>
      <c r="B53" s="3" t="inlineStr">
        <is>
          <t>徐军涛</t>
        </is>
      </c>
      <c r="C53" s="3" t="inlineStr">
        <is>
          <t>智汇云</t>
        </is>
      </c>
      <c r="D53" s="3" t="inlineStr">
        <is>
          <t>全栈工程师</t>
        </is>
      </c>
      <c r="E53" s="3" t="inlineStr">
        <is>
          <t>xujuntao52@zhihui-cloud.com</t>
        </is>
      </c>
      <c r="F53" s="2" t="inlineStr">
        <is>
          <t>18896121390</t>
        </is>
      </c>
      <c r="G53" s="2" t="inlineStr">
        <is>
          <t>标准</t>
        </is>
      </c>
      <c r="H53" s="2" t="inlineStr">
        <is>
          <t>标准</t>
        </is>
      </c>
      <c r="I53" s="2" t="inlineStr">
        <is>
          <t>L</t>
        </is>
      </c>
      <c r="J53" s="4" t="n">
        <v>46106</v>
      </c>
      <c r="K53" s="2" t="inlineStr">
        <is>
          <t>已签到</t>
        </is>
      </c>
    </row>
    <row r="54">
      <c r="A54" s="2" t="n">
        <v>53</v>
      </c>
      <c r="B54" s="3" t="inlineStr">
        <is>
          <t>张然</t>
        </is>
      </c>
      <c r="C54" s="3" t="inlineStr">
        <is>
          <t>云栖智能</t>
        </is>
      </c>
      <c r="D54" s="3" t="inlineStr">
        <is>
          <t>解决方案架构师</t>
        </is>
      </c>
      <c r="E54" s="3" t="inlineStr">
        <is>
          <t>zhangran53@yunqi-ai.com</t>
        </is>
      </c>
      <c r="F54" s="2" t="inlineStr">
        <is>
          <t>18681579277</t>
        </is>
      </c>
      <c r="G54" s="2" t="inlineStr">
        <is>
          <t>标准</t>
        </is>
      </c>
      <c r="H54" s="2" t="inlineStr">
        <is>
          <t>标准</t>
        </is>
      </c>
      <c r="I54" s="2" t="inlineStr">
        <is>
          <t>L</t>
        </is>
      </c>
      <c r="J54" s="4" t="n">
        <v>46145</v>
      </c>
      <c r="K54" s="2" t="inlineStr">
        <is>
          <t>已签到</t>
        </is>
      </c>
    </row>
    <row r="55">
      <c r="A55" s="2" t="n">
        <v>54</v>
      </c>
      <c r="B55" s="3" t="inlineStr">
        <is>
          <t>刘怡</t>
        </is>
      </c>
      <c r="C55" s="3" t="inlineStr">
        <is>
          <t>极光数据</t>
        </is>
      </c>
      <c r="D55" s="3" t="inlineStr">
        <is>
          <t>产品经理</t>
        </is>
      </c>
      <c r="E55" s="3" t="inlineStr">
        <is>
          <t>liuyi54@aurora-data.cn</t>
        </is>
      </c>
      <c r="F55" s="2" t="inlineStr">
        <is>
          <t>15966701932</t>
        </is>
      </c>
      <c r="G55" s="2" t="inlineStr">
        <is>
          <t>标准</t>
        </is>
      </c>
      <c r="H55" s="2" t="inlineStr">
        <is>
          <t>标准</t>
        </is>
      </c>
      <c r="I55" s="2" t="inlineStr">
        <is>
          <t>L</t>
        </is>
      </c>
      <c r="J55" s="4" t="n">
        <v>46088</v>
      </c>
      <c r="K55" s="2" t="inlineStr">
        <is>
          <t>未签到</t>
        </is>
      </c>
    </row>
    <row r="56">
      <c r="A56" s="2" t="n">
        <v>55</v>
      </c>
      <c r="B56" s="3" t="inlineStr">
        <is>
          <t>吴超彤</t>
        </is>
      </c>
      <c r="C56" s="3" t="inlineStr">
        <is>
          <t>蓝图网络</t>
        </is>
      </c>
      <c r="D56" s="3" t="inlineStr">
        <is>
          <t>技术经理</t>
        </is>
      </c>
      <c r="E56" s="3" t="inlineStr">
        <is>
          <t>wuchaotong55@lantoo.net</t>
        </is>
      </c>
      <c r="F56" s="2" t="inlineStr">
        <is>
          <t>13899074895</t>
        </is>
      </c>
      <c r="G56" s="2" t="inlineStr">
        <is>
          <t>标准</t>
        </is>
      </c>
      <c r="H56" s="2" t="inlineStr">
        <is>
          <t>标准</t>
        </is>
      </c>
      <c r="I56" s="2" t="inlineStr">
        <is>
          <t>M</t>
        </is>
      </c>
      <c r="J56" s="4" t="n">
        <v>46124</v>
      </c>
      <c r="K56" s="2" t="inlineStr">
        <is>
          <t>已签到</t>
        </is>
      </c>
    </row>
    <row r="57">
      <c r="A57" s="2" t="n">
        <v>56</v>
      </c>
      <c r="B57" s="3" t="inlineStr">
        <is>
          <t>潘平</t>
        </is>
      </c>
      <c r="C57" s="3" t="inlineStr">
        <is>
          <t>启元软件</t>
        </is>
      </c>
      <c r="D57" s="3" t="inlineStr">
        <is>
          <t>前端开发</t>
        </is>
      </c>
      <c r="E57" s="3" t="inlineStr">
        <is>
          <t>panping56@qiyuan-soft.com</t>
        </is>
      </c>
      <c r="F57" s="2" t="inlineStr">
        <is>
          <t>13954494540</t>
        </is>
      </c>
      <c r="G57" s="2" t="inlineStr">
        <is>
          <t>标准</t>
        </is>
      </c>
      <c r="H57" s="2" t="inlineStr">
        <is>
          <t>素食</t>
        </is>
      </c>
      <c r="I57" s="2" t="inlineStr">
        <is>
          <t>L</t>
        </is>
      </c>
      <c r="J57" s="4" t="n">
        <v>46107</v>
      </c>
      <c r="K57" s="2" t="inlineStr">
        <is>
          <t>已签到</t>
        </is>
      </c>
    </row>
    <row r="58">
      <c r="A58" s="2" t="n">
        <v>57</v>
      </c>
      <c r="B58" s="3" t="inlineStr">
        <is>
          <t>梁然琪</t>
        </is>
      </c>
      <c r="C58" s="3" t="inlineStr">
        <is>
          <t>天工智能</t>
        </is>
      </c>
      <c r="D58" s="3" t="inlineStr">
        <is>
          <t>解决方案架构师</t>
        </is>
      </c>
      <c r="E58" s="3" t="inlineStr">
        <is>
          <t>liangranqi57@tiangong-ai.com</t>
        </is>
      </c>
      <c r="F58" s="2" t="inlineStr">
        <is>
          <t>15945924989</t>
        </is>
      </c>
      <c r="G58" s="2" t="inlineStr">
        <is>
          <t>标准</t>
        </is>
      </c>
      <c r="H58" s="2" t="inlineStr">
        <is>
          <t>素食</t>
        </is>
      </c>
      <c r="I58" s="2" t="inlineStr">
        <is>
          <t>L</t>
        </is>
      </c>
      <c r="J58" s="4" t="n">
        <v>46152</v>
      </c>
      <c r="K58" s="2" t="inlineStr">
        <is>
          <t>已签到</t>
        </is>
      </c>
    </row>
    <row r="59">
      <c r="A59" s="2" t="n">
        <v>58</v>
      </c>
      <c r="B59" s="3" t="inlineStr">
        <is>
          <t>潘泽</t>
        </is>
      </c>
      <c r="C59" s="3" t="inlineStr">
        <is>
          <t>云栖智能</t>
        </is>
      </c>
      <c r="D59" s="3" t="inlineStr">
        <is>
          <t>技术经理</t>
        </is>
      </c>
      <c r="E59" s="3" t="inlineStr">
        <is>
          <t>panze58@yunqi-ai.com</t>
        </is>
      </c>
      <c r="F59" s="2" t="inlineStr">
        <is>
          <t>13817971094</t>
        </is>
      </c>
      <c r="G59" s="2" t="inlineStr">
        <is>
          <t>标准</t>
        </is>
      </c>
      <c r="H59" s="2" t="inlineStr">
        <is>
          <t>标准</t>
        </is>
      </c>
      <c r="I59" s="2" t="inlineStr">
        <is>
          <t>M</t>
        </is>
      </c>
      <c r="J59" s="4" t="n">
        <v>46148</v>
      </c>
      <c r="K59" s="2" t="inlineStr">
        <is>
          <t>已签到</t>
        </is>
      </c>
    </row>
    <row r="60">
      <c r="A60" s="2" t="n">
        <v>59</v>
      </c>
      <c r="B60" s="3" t="inlineStr">
        <is>
          <t>黄勇</t>
        </is>
      </c>
      <c r="C60" s="3" t="inlineStr">
        <is>
          <t>星瀚科技</t>
        </is>
      </c>
      <c r="D60" s="3" t="inlineStr">
        <is>
          <t>算法工程师</t>
        </is>
      </c>
      <c r="E60" s="3" t="inlineStr">
        <is>
          <t>huangyong59@xinghan-tech.com</t>
        </is>
      </c>
      <c r="F60" s="2" t="inlineStr">
        <is>
          <t>18635490913</t>
        </is>
      </c>
      <c r="G60" s="2" t="inlineStr">
        <is>
          <t>标准</t>
        </is>
      </c>
      <c r="H60" s="2" t="inlineStr">
        <is>
          <t>标准</t>
        </is>
      </c>
      <c r="I60" s="2" t="inlineStr">
        <is>
          <t>M</t>
        </is>
      </c>
      <c r="J60" s="4" t="n">
        <v>46103</v>
      </c>
      <c r="K60" s="2" t="inlineStr">
        <is>
          <t>未签到</t>
        </is>
      </c>
    </row>
    <row r="61">
      <c r="A61" s="2" t="n">
        <v>60</v>
      </c>
      <c r="B61" s="3" t="inlineStr">
        <is>
          <t>周静刚</t>
        </is>
      </c>
      <c r="C61" s="3" t="inlineStr">
        <is>
          <t>蓝图网络</t>
        </is>
      </c>
      <c r="D61" s="3" t="inlineStr">
        <is>
          <t>前端开发</t>
        </is>
      </c>
      <c r="E61" s="3" t="inlineStr">
        <is>
          <t>zhoujinggang60@lantoo.net</t>
        </is>
      </c>
      <c r="F61" s="2" t="inlineStr">
        <is>
          <t>13802746619</t>
        </is>
      </c>
      <c r="G61" s="2" t="inlineStr">
        <is>
          <t>标准</t>
        </is>
      </c>
      <c r="H61" s="2" t="inlineStr">
        <is>
          <t>标准</t>
        </is>
      </c>
      <c r="I61" s="2" t="inlineStr">
        <is>
          <t>M</t>
        </is>
      </c>
      <c r="J61" s="4" t="n">
        <v>46152</v>
      </c>
      <c r="K61" s="2" t="inlineStr">
        <is>
          <t>已签到</t>
        </is>
      </c>
    </row>
    <row r="62">
      <c r="A62" s="2" t="n">
        <v>61</v>
      </c>
      <c r="B62" s="3" t="inlineStr">
        <is>
          <t>曹霞</t>
        </is>
      </c>
      <c r="C62" s="3" t="inlineStr">
        <is>
          <t>蜂巢科技</t>
        </is>
      </c>
      <c r="D62" s="3" t="inlineStr">
        <is>
          <t>数据工程师</t>
        </is>
      </c>
      <c r="E62" s="3" t="inlineStr">
        <is>
          <t>caoxia61@hive-tech.cn</t>
        </is>
      </c>
      <c r="F62" s="2" t="inlineStr">
        <is>
          <t>18637560007</t>
        </is>
      </c>
      <c r="G62" s="2" t="inlineStr">
        <is>
          <t>标准</t>
        </is>
      </c>
      <c r="H62" s="2" t="inlineStr">
        <is>
          <t>标准</t>
        </is>
      </c>
      <c r="I62" s="2" t="inlineStr">
        <is>
          <t>L</t>
        </is>
      </c>
      <c r="J62" s="4" t="n">
        <v>46118</v>
      </c>
      <c r="K62" s="2" t="inlineStr">
        <is>
          <t>已签到</t>
        </is>
      </c>
    </row>
    <row r="63">
      <c r="A63" s="2" t="n">
        <v>62</v>
      </c>
      <c r="B63" s="3" t="inlineStr">
        <is>
          <t>蒋军欣</t>
        </is>
      </c>
      <c r="C63" s="3" t="inlineStr">
        <is>
          <t>蜂巢科技</t>
        </is>
      </c>
      <c r="D63" s="3" t="inlineStr">
        <is>
          <t>解决方案架构师</t>
        </is>
      </c>
      <c r="E63" s="3" t="inlineStr">
        <is>
          <t>jiangjunxin62@hive-tech.cn</t>
        </is>
      </c>
      <c r="F63" s="2" t="inlineStr">
        <is>
          <t>18600005543</t>
        </is>
      </c>
      <c r="G63" s="2" t="inlineStr">
        <is>
          <t>标准</t>
        </is>
      </c>
      <c r="H63" s="2" t="inlineStr">
        <is>
          <t>标准</t>
        </is>
      </c>
      <c r="I63" s="2" t="inlineStr">
        <is>
          <t>M</t>
        </is>
      </c>
      <c r="J63" s="4" t="n">
        <v>46145</v>
      </c>
      <c r="K63" s="2" t="inlineStr">
        <is>
          <t>已签到</t>
        </is>
      </c>
    </row>
    <row r="64">
      <c r="A64" s="2" t="n">
        <v>63</v>
      </c>
      <c r="B64" s="3" t="inlineStr">
        <is>
          <t>曹怡桐</t>
        </is>
      </c>
      <c r="C64" s="3" t="inlineStr">
        <is>
          <t>天工智能</t>
        </is>
      </c>
      <c r="D64" s="3" t="inlineStr">
        <is>
          <t>数据工程师</t>
        </is>
      </c>
      <c r="E64" s="3" t="inlineStr">
        <is>
          <t>caoyitong63@tiangong-ai.com</t>
        </is>
      </c>
      <c r="F64" s="2" t="inlineStr">
        <is>
          <t>15855162422</t>
        </is>
      </c>
      <c r="G64" s="2" t="inlineStr">
        <is>
          <t>标准</t>
        </is>
      </c>
      <c r="H64" s="2" t="inlineStr">
        <is>
          <t>标准</t>
        </is>
      </c>
      <c r="I64" s="2" t="inlineStr">
        <is>
          <t>XXL</t>
        </is>
      </c>
      <c r="J64" s="4" t="n">
        <v>46140</v>
      </c>
      <c r="K64" s="2" t="inlineStr">
        <is>
          <t>已签到</t>
        </is>
      </c>
    </row>
    <row r="65">
      <c r="A65" s="2" t="n">
        <v>64</v>
      </c>
      <c r="B65" s="3" t="inlineStr">
        <is>
          <t>唐明伟</t>
        </is>
      </c>
      <c r="C65" s="3" t="inlineStr">
        <is>
          <t>蓝图网络</t>
        </is>
      </c>
      <c r="D65" s="3" t="inlineStr">
        <is>
          <t>前端开发</t>
        </is>
      </c>
      <c r="E65" s="3" t="inlineStr">
        <is>
          <t>tangmingwei64@lantoo.net</t>
        </is>
      </c>
      <c r="F65" s="2" t="inlineStr">
        <is>
          <t>15927679371</t>
        </is>
      </c>
      <c r="G65" s="2" t="inlineStr">
        <is>
          <t>标准</t>
        </is>
      </c>
      <c r="H65" s="2" t="inlineStr">
        <is>
          <t>标准</t>
        </is>
      </c>
      <c r="I65" s="2" t="inlineStr">
        <is>
          <t>L</t>
        </is>
      </c>
      <c r="J65" s="4" t="n">
        <v>46135</v>
      </c>
      <c r="K65" s="2" t="inlineStr">
        <is>
          <t>已签到</t>
        </is>
      </c>
    </row>
    <row r="66">
      <c r="A66" s="2" t="n">
        <v>65</v>
      </c>
      <c r="B66" s="3" t="inlineStr">
        <is>
          <t>韩欣勇</t>
        </is>
      </c>
      <c r="C66" s="3" t="inlineStr">
        <is>
          <t>光合数字</t>
        </is>
      </c>
      <c r="D66" s="3" t="inlineStr">
        <is>
          <t>DevOps 工程师</t>
        </is>
      </c>
      <c r="E66" s="3" t="inlineStr">
        <is>
          <t>hanxinyong65@photosyn-digital.com</t>
        </is>
      </c>
      <c r="F66" s="2" t="inlineStr">
        <is>
          <t>18643736996</t>
        </is>
      </c>
      <c r="G66" s="2" t="inlineStr">
        <is>
          <t>标准</t>
        </is>
      </c>
      <c r="H66" s="2" t="inlineStr">
        <is>
          <t>标准</t>
        </is>
      </c>
      <c r="I66" s="2" t="inlineStr">
        <is>
          <t>L</t>
        </is>
      </c>
      <c r="J66" s="4" t="n">
        <v>46142</v>
      </c>
      <c r="K66" s="2" t="inlineStr">
        <is>
          <t>请假</t>
        </is>
      </c>
    </row>
    <row r="67">
      <c r="A67" s="2" t="n">
        <v>66</v>
      </c>
      <c r="B67" s="3" t="inlineStr">
        <is>
          <t>陈敏子</t>
        </is>
      </c>
      <c r="C67" s="3" t="inlineStr">
        <is>
          <t>万象云</t>
        </is>
      </c>
      <c r="D67" s="3" t="inlineStr">
        <is>
          <t>全栈工程师</t>
        </is>
      </c>
      <c r="E67" s="3" t="inlineStr">
        <is>
          <t>chenminzi66@wanxiang-cloud.cn</t>
        </is>
      </c>
      <c r="F67" s="2" t="inlineStr">
        <is>
          <t>13817145156</t>
        </is>
      </c>
      <c r="G67" s="2" t="inlineStr">
        <is>
          <t>标准</t>
        </is>
      </c>
      <c r="H67" s="2" t="inlineStr">
        <is>
          <t>标准</t>
        </is>
      </c>
      <c r="I67" s="2" t="inlineStr">
        <is>
          <t>L</t>
        </is>
      </c>
      <c r="J67" s="4" t="n">
        <v>46141</v>
      </c>
      <c r="K67" s="2" t="inlineStr">
        <is>
          <t>已签到</t>
        </is>
      </c>
    </row>
    <row r="68">
      <c r="A68" s="2" t="n">
        <v>67</v>
      </c>
      <c r="B68" s="3" t="inlineStr">
        <is>
          <t>陈艳</t>
        </is>
      </c>
      <c r="C68" s="3" t="inlineStr">
        <is>
          <t>领航智造</t>
        </is>
      </c>
      <c r="D68" s="3" t="inlineStr">
        <is>
          <t>DevOps 工程师</t>
        </is>
      </c>
      <c r="E68" s="3" t="inlineStr">
        <is>
          <t>chenyan67@navi-mfg.com</t>
        </is>
      </c>
      <c r="F68" s="2" t="inlineStr">
        <is>
          <t>18807538253</t>
        </is>
      </c>
      <c r="G68" s="2" t="inlineStr">
        <is>
          <t>标准</t>
        </is>
      </c>
      <c r="H68" s="2" t="inlineStr">
        <is>
          <t>清真</t>
        </is>
      </c>
      <c r="I68" s="2" t="inlineStr">
        <is>
          <t>M</t>
        </is>
      </c>
      <c r="J68" s="4" t="n">
        <v>46107</v>
      </c>
      <c r="K68" s="2" t="inlineStr">
        <is>
          <t>已签到</t>
        </is>
      </c>
    </row>
    <row r="69">
      <c r="A69" s="2" t="n">
        <v>68</v>
      </c>
      <c r="B69" s="3" t="inlineStr">
        <is>
          <t>徐丽</t>
        </is>
      </c>
      <c r="C69" s="3" t="inlineStr">
        <is>
          <t>极光数据</t>
        </is>
      </c>
      <c r="D69" s="3" t="inlineStr">
        <is>
          <t>前端开发</t>
        </is>
      </c>
      <c r="E69" s="3" t="inlineStr">
        <is>
          <t>xuli68@aurora-data.cn</t>
        </is>
      </c>
      <c r="F69" s="2" t="inlineStr">
        <is>
          <t>13681919606</t>
        </is>
      </c>
      <c r="G69" s="2" t="inlineStr">
        <is>
          <t>标准</t>
        </is>
      </c>
      <c r="H69" s="2" t="inlineStr">
        <is>
          <t>标准</t>
        </is>
      </c>
      <c r="I69" s="2" t="inlineStr">
        <is>
          <t>L</t>
        </is>
      </c>
      <c r="J69" s="4" t="n">
        <v>46098</v>
      </c>
      <c r="K69" s="2" t="inlineStr">
        <is>
          <t>已签到</t>
        </is>
      </c>
    </row>
    <row r="70">
      <c r="A70" s="2" t="n">
        <v>69</v>
      </c>
      <c r="B70" s="3" t="inlineStr">
        <is>
          <t>孙怡</t>
        </is>
      </c>
      <c r="C70" s="3" t="inlineStr">
        <is>
          <t>云栖智能</t>
        </is>
      </c>
      <c r="D70" s="3" t="inlineStr">
        <is>
          <t>数据工程师</t>
        </is>
      </c>
      <c r="E70" s="3" t="inlineStr">
        <is>
          <t>sunyi69@yunqi-ai.com</t>
        </is>
      </c>
      <c r="F70" s="2" t="inlineStr">
        <is>
          <t>13545558186</t>
        </is>
      </c>
      <c r="G70" s="2" t="inlineStr">
        <is>
          <t>标准</t>
        </is>
      </c>
      <c r="H70" s="2" t="inlineStr">
        <is>
          <t>清真</t>
        </is>
      </c>
      <c r="I70" s="2" t="inlineStr">
        <is>
          <t>M</t>
        </is>
      </c>
      <c r="J70" s="4" t="n">
        <v>46133</v>
      </c>
      <c r="K70" s="2" t="inlineStr">
        <is>
          <t>已签到</t>
        </is>
      </c>
    </row>
    <row r="71">
      <c r="A71" s="2" t="n">
        <v>70</v>
      </c>
      <c r="B71" s="3" t="inlineStr">
        <is>
          <t>董宁琪</t>
        </is>
      </c>
      <c r="C71" s="3" t="inlineStr">
        <is>
          <t>智汇云</t>
        </is>
      </c>
      <c r="D71" s="3" t="inlineStr">
        <is>
          <t>数据工程师</t>
        </is>
      </c>
      <c r="E71" s="3" t="inlineStr">
        <is>
          <t>dongningqi70@zhihui-cloud.com</t>
        </is>
      </c>
      <c r="F71" s="2" t="inlineStr">
        <is>
          <t>15959201924</t>
        </is>
      </c>
      <c r="G71" s="2" t="inlineStr">
        <is>
          <t>标准</t>
        </is>
      </c>
      <c r="H71" s="2" t="inlineStr">
        <is>
          <t>标准</t>
        </is>
      </c>
      <c r="I71" s="2" t="inlineStr">
        <is>
          <t>XL</t>
        </is>
      </c>
      <c r="J71" s="4" t="n">
        <v>46152</v>
      </c>
      <c r="K71" s="2" t="inlineStr">
        <is>
          <t>请假</t>
        </is>
      </c>
    </row>
    <row r="72">
      <c r="A72" s="2" t="n">
        <v>71</v>
      </c>
      <c r="B72" s="3" t="inlineStr">
        <is>
          <t>黄军</t>
        </is>
      </c>
      <c r="C72" s="3" t="inlineStr">
        <is>
          <t>智汇云</t>
        </is>
      </c>
      <c r="D72" s="3" t="inlineStr">
        <is>
          <t>后端开发</t>
        </is>
      </c>
      <c r="E72" s="3" t="inlineStr">
        <is>
          <t>huangjun71@zhihui-cloud.com</t>
        </is>
      </c>
      <c r="F72" s="2" t="inlineStr">
        <is>
          <t>13943574444</t>
        </is>
      </c>
      <c r="G72" s="2" t="inlineStr">
        <is>
          <t>标准</t>
        </is>
      </c>
      <c r="H72" s="2" t="inlineStr">
        <is>
          <t>标准</t>
        </is>
      </c>
      <c r="I72" s="2" t="inlineStr">
        <is>
          <t>M</t>
        </is>
      </c>
      <c r="J72" s="4" t="n">
        <v>46146</v>
      </c>
      <c r="K72" s="2" t="inlineStr">
        <is>
          <t>已签到</t>
        </is>
      </c>
    </row>
    <row r="73">
      <c r="A73" s="2" t="n">
        <v>72</v>
      </c>
      <c r="B73" s="3" t="inlineStr">
        <is>
          <t>彭宇</t>
        </is>
      </c>
      <c r="C73" s="3" t="inlineStr">
        <is>
          <t>云栖智能</t>
        </is>
      </c>
      <c r="D73" s="3" t="inlineStr">
        <is>
          <t>DevOps 工程师</t>
        </is>
      </c>
      <c r="E73" s="3" t="inlineStr">
        <is>
          <t>pengyu72@yunqi-ai.com</t>
        </is>
      </c>
      <c r="F73" s="2" t="inlineStr">
        <is>
          <t>13691500191</t>
        </is>
      </c>
      <c r="G73" s="2" t="inlineStr">
        <is>
          <t>标准</t>
        </is>
      </c>
      <c r="H73" s="2" t="inlineStr">
        <is>
          <t>标准</t>
        </is>
      </c>
      <c r="I73" s="2" t="inlineStr">
        <is>
          <t>L</t>
        </is>
      </c>
      <c r="J73" s="4" t="n">
        <v>46091</v>
      </c>
      <c r="K73" s="2" t="inlineStr">
        <is>
          <t>已签到</t>
        </is>
      </c>
    </row>
    <row r="74">
      <c r="A74" s="2" t="n">
        <v>73</v>
      </c>
      <c r="B74" s="3" t="inlineStr">
        <is>
          <t>周欣刚</t>
        </is>
      </c>
      <c r="C74" s="3" t="inlineStr">
        <is>
          <t>深蓝计算</t>
        </is>
      </c>
      <c r="D74" s="3" t="inlineStr">
        <is>
          <t>解决方案架构师</t>
        </is>
      </c>
      <c r="E74" s="3" t="inlineStr">
        <is>
          <t>zhouxingang73@deepblue-comp.com</t>
        </is>
      </c>
      <c r="F74" s="2" t="inlineStr">
        <is>
          <t>15844833080</t>
        </is>
      </c>
      <c r="G74" s="2" t="inlineStr">
        <is>
          <t>标准</t>
        </is>
      </c>
      <c r="H74" s="2" t="inlineStr">
        <is>
          <t>素食</t>
        </is>
      </c>
      <c r="I74" s="2" t="inlineStr">
        <is>
          <t>M</t>
        </is>
      </c>
      <c r="J74" s="4" t="n">
        <v>46112</v>
      </c>
      <c r="K74" s="2" t="inlineStr">
        <is>
          <t>已签到</t>
        </is>
      </c>
    </row>
    <row r="75">
      <c r="A75" s="2" t="n">
        <v>74</v>
      </c>
      <c r="B75" s="3" t="inlineStr">
        <is>
          <t>郭雨</t>
        </is>
      </c>
      <c r="C75" s="3" t="inlineStr">
        <is>
          <t>光合数字</t>
        </is>
      </c>
      <c r="D75" s="3" t="inlineStr">
        <is>
          <t>全栈工程师</t>
        </is>
      </c>
      <c r="E75" s="3" t="inlineStr">
        <is>
          <t>guoyu74@photosyn-digital.com</t>
        </is>
      </c>
      <c r="F75" s="2" t="inlineStr">
        <is>
          <t>18663840685</t>
        </is>
      </c>
      <c r="G75" s="2" t="inlineStr">
        <is>
          <t>标准</t>
        </is>
      </c>
      <c r="H75" s="2" t="inlineStr">
        <is>
          <t>标准</t>
        </is>
      </c>
      <c r="I75" s="2" t="inlineStr">
        <is>
          <t>L</t>
        </is>
      </c>
      <c r="J75" s="4" t="n">
        <v>46100</v>
      </c>
      <c r="K75" s="2" t="inlineStr">
        <is>
          <t>已签到</t>
        </is>
      </c>
    </row>
    <row r="76">
      <c r="A76" s="2" t="n">
        <v>75</v>
      </c>
      <c r="B76" s="3" t="inlineStr">
        <is>
          <t>唐娟</t>
        </is>
      </c>
      <c r="C76" s="3" t="inlineStr">
        <is>
          <t>星环动力</t>
        </is>
      </c>
      <c r="D76" s="3" t="inlineStr">
        <is>
          <t>解决方案架构师</t>
        </is>
      </c>
      <c r="E76" s="3" t="inlineStr">
        <is>
          <t>tangjuan75@stellar-ring.com</t>
        </is>
      </c>
      <c r="F76" s="2" t="inlineStr">
        <is>
          <t>18820242977</t>
        </is>
      </c>
      <c r="G76" s="2" t="inlineStr">
        <is>
          <t>标准</t>
        </is>
      </c>
      <c r="H76" s="2" t="inlineStr">
        <is>
          <t>标准</t>
        </is>
      </c>
      <c r="I76" s="2" t="inlineStr">
        <is>
          <t>L</t>
        </is>
      </c>
      <c r="J76" s="4" t="n">
        <v>46141</v>
      </c>
      <c r="K76" s="2" t="inlineStr">
        <is>
          <t>已签到</t>
        </is>
      </c>
    </row>
    <row r="77">
      <c r="A77" s="2" t="n">
        <v>76</v>
      </c>
      <c r="B77" s="3" t="inlineStr">
        <is>
          <t>李伟静</t>
        </is>
      </c>
      <c r="C77" s="3" t="inlineStr">
        <is>
          <t>领航智造</t>
        </is>
      </c>
      <c r="D77" s="3" t="inlineStr">
        <is>
          <t>后端开发</t>
        </is>
      </c>
      <c r="E77" s="3" t="inlineStr">
        <is>
          <t>liweijing76@navi-mfg.com</t>
        </is>
      </c>
      <c r="F77" s="2" t="inlineStr">
        <is>
          <t>13671519010</t>
        </is>
      </c>
      <c r="G77" s="2" t="inlineStr">
        <is>
          <t>标准</t>
        </is>
      </c>
      <c r="H77" s="2" t="inlineStr">
        <is>
          <t>标准</t>
        </is>
      </c>
      <c r="I77" s="2" t="inlineStr">
        <is>
          <t>M</t>
        </is>
      </c>
      <c r="J77" s="4" t="n">
        <v>46121</v>
      </c>
      <c r="K77" s="2" t="inlineStr">
        <is>
          <t>已签到</t>
        </is>
      </c>
    </row>
    <row r="78">
      <c r="A78" s="2" t="n">
        <v>77</v>
      </c>
      <c r="B78" s="3" t="inlineStr">
        <is>
          <t>高浩杰</t>
        </is>
      </c>
      <c r="C78" s="3" t="inlineStr">
        <is>
          <t>万象云</t>
        </is>
      </c>
      <c r="D78" s="3" t="inlineStr">
        <is>
          <t>前端开发</t>
        </is>
      </c>
      <c r="E78" s="3" t="inlineStr">
        <is>
          <t>gaohaojie77@wanxiang-cloud.cn</t>
        </is>
      </c>
      <c r="F78" s="2" t="inlineStr">
        <is>
          <t>18828379413</t>
        </is>
      </c>
      <c r="G78" s="2" t="inlineStr">
        <is>
          <t>标准</t>
        </is>
      </c>
      <c r="H78" s="2" t="inlineStr">
        <is>
          <t>素食</t>
        </is>
      </c>
      <c r="I78" s="2" t="inlineStr">
        <is>
          <t>M</t>
        </is>
      </c>
      <c r="J78" s="4" t="n">
        <v>46134</v>
      </c>
      <c r="K78" s="2" t="inlineStr">
        <is>
          <t>已签到</t>
        </is>
      </c>
    </row>
    <row r="79">
      <c r="A79" s="2" t="n">
        <v>78</v>
      </c>
      <c r="B79" s="3" t="inlineStr">
        <is>
          <t>曹然浩</t>
        </is>
      </c>
      <c r="C79" s="3" t="inlineStr">
        <is>
          <t>光合数字</t>
        </is>
      </c>
      <c r="D79" s="3" t="inlineStr">
        <is>
          <t>算法工程师</t>
        </is>
      </c>
      <c r="E79" s="3" t="inlineStr">
        <is>
          <t>caoranhao78@photosyn-digital.com</t>
        </is>
      </c>
      <c r="F79" s="2" t="inlineStr">
        <is>
          <t>18693731140</t>
        </is>
      </c>
      <c r="G79" s="2" t="inlineStr">
        <is>
          <t>标准</t>
        </is>
      </c>
      <c r="H79" s="2" t="inlineStr">
        <is>
          <t>素食</t>
        </is>
      </c>
      <c r="I79" s="2" t="inlineStr">
        <is>
          <t>M</t>
        </is>
      </c>
      <c r="J79" s="4" t="n">
        <v>46140</v>
      </c>
      <c r="K79" s="2" t="inlineStr">
        <is>
          <t>已签到</t>
        </is>
      </c>
    </row>
    <row r="80">
      <c r="A80" s="2" t="n">
        <v>79</v>
      </c>
      <c r="B80" s="3" t="inlineStr">
        <is>
          <t>潘刚</t>
        </is>
      </c>
      <c r="C80" s="3" t="inlineStr">
        <is>
          <t>光合数字</t>
        </is>
      </c>
      <c r="D80" s="3" t="inlineStr">
        <is>
          <t>前端开发</t>
        </is>
      </c>
      <c r="E80" s="3" t="inlineStr">
        <is>
          <t>pangang79@photosyn-digital.com</t>
        </is>
      </c>
      <c r="F80" s="2" t="inlineStr">
        <is>
          <t>15928322573</t>
        </is>
      </c>
      <c r="G80" s="2" t="inlineStr">
        <is>
          <t>标准</t>
        </is>
      </c>
      <c r="H80" s="2" t="inlineStr">
        <is>
          <t>标准</t>
        </is>
      </c>
      <c r="I80" s="2" t="inlineStr">
        <is>
          <t>L</t>
        </is>
      </c>
      <c r="J80" s="4" t="n">
        <v>46110</v>
      </c>
      <c r="K80" s="2" t="inlineStr">
        <is>
          <t>已签到</t>
        </is>
      </c>
    </row>
    <row r="81">
      <c r="A81" s="2" t="n">
        <v>80</v>
      </c>
      <c r="B81" s="3" t="inlineStr">
        <is>
          <t>林强桐</t>
        </is>
      </c>
      <c r="C81" s="3" t="inlineStr">
        <is>
          <t>蓝图网络</t>
        </is>
      </c>
      <c r="D81" s="3" t="inlineStr">
        <is>
          <t>数据工程师</t>
        </is>
      </c>
      <c r="E81" s="3" t="inlineStr">
        <is>
          <t>linqiangtong80@lantoo.net</t>
        </is>
      </c>
      <c r="F81" s="2" t="inlineStr">
        <is>
          <t>13960777034</t>
        </is>
      </c>
      <c r="G81" s="2" t="inlineStr">
        <is>
          <t>标准</t>
        </is>
      </c>
      <c r="H81" s="2" t="inlineStr">
        <is>
          <t>标准</t>
        </is>
      </c>
      <c r="I81" s="2" t="inlineStr">
        <is>
          <t>XL</t>
        </is>
      </c>
      <c r="J81" s="4" t="n">
        <v>46140</v>
      </c>
      <c r="K81" s="2" t="inlineStr">
        <is>
          <t>已签到</t>
        </is>
      </c>
    </row>
    <row r="82">
      <c r="A82" s="2" t="n">
        <v>81</v>
      </c>
      <c r="B82" s="3" t="inlineStr">
        <is>
          <t>张桐</t>
        </is>
      </c>
      <c r="C82" s="3" t="inlineStr">
        <is>
          <t>南岭智联</t>
        </is>
      </c>
      <c r="D82" s="3" t="inlineStr">
        <is>
          <t>前端开发</t>
        </is>
      </c>
      <c r="E82" s="3" t="inlineStr">
        <is>
          <t>zhangtong81@nanling-iot.cn</t>
        </is>
      </c>
      <c r="F82" s="2" t="inlineStr">
        <is>
          <t>13867020086</t>
        </is>
      </c>
      <c r="G82" s="2" t="inlineStr">
        <is>
          <t>标准</t>
        </is>
      </c>
      <c r="H82" s="2" t="inlineStr">
        <is>
          <t>无麸质</t>
        </is>
      </c>
      <c r="I82" s="2" t="inlineStr">
        <is>
          <t>XL</t>
        </is>
      </c>
      <c r="J82" s="4" t="n">
        <v>46104</v>
      </c>
      <c r="K82" s="2" t="inlineStr">
        <is>
          <t>已签到</t>
        </is>
      </c>
    </row>
    <row r="83">
      <c r="A83" s="2" t="n">
        <v>82</v>
      </c>
      <c r="B83" s="3" t="inlineStr">
        <is>
          <t>周浩</t>
        </is>
      </c>
      <c r="C83" s="3" t="inlineStr">
        <is>
          <t>云栖智能</t>
        </is>
      </c>
      <c r="D83" s="3" t="inlineStr">
        <is>
          <t>全栈工程师</t>
        </is>
      </c>
      <c r="E83" s="3" t="inlineStr">
        <is>
          <t>zhouhao82@yunqi-ai.com</t>
        </is>
      </c>
      <c r="F83" s="2" t="inlineStr">
        <is>
          <t>13849874232</t>
        </is>
      </c>
      <c r="G83" s="2" t="inlineStr">
        <is>
          <t>标准</t>
        </is>
      </c>
      <c r="H83" s="2" t="inlineStr">
        <is>
          <t>标准</t>
        </is>
      </c>
      <c r="I83" s="2" t="inlineStr">
        <is>
          <t>L</t>
        </is>
      </c>
      <c r="J83" s="4" t="n">
        <v>46135</v>
      </c>
      <c r="K83" s="2" t="inlineStr">
        <is>
          <t>已签到</t>
        </is>
      </c>
    </row>
    <row r="84">
      <c r="A84" s="2" t="n">
        <v>83</v>
      </c>
      <c r="B84" s="3" t="inlineStr">
        <is>
          <t>高杰</t>
        </is>
      </c>
      <c r="C84" s="3" t="inlineStr">
        <is>
          <t>万象云</t>
        </is>
      </c>
      <c r="D84" s="3" t="inlineStr">
        <is>
          <t>测试工程师</t>
        </is>
      </c>
      <c r="E84" s="3" t="inlineStr">
        <is>
          <t>gaojie83@wanxiang-cloud.cn</t>
        </is>
      </c>
      <c r="F84" s="2" t="inlineStr">
        <is>
          <t>13967480158</t>
        </is>
      </c>
      <c r="G84" s="2" t="inlineStr">
        <is>
          <t>标准</t>
        </is>
      </c>
      <c r="H84" s="2" t="inlineStr">
        <is>
          <t>素食</t>
        </is>
      </c>
      <c r="I84" s="2" t="inlineStr">
        <is>
          <t>M</t>
        </is>
      </c>
      <c r="J84" s="4" t="n">
        <v>46113</v>
      </c>
      <c r="K84" s="2" t="inlineStr">
        <is>
          <t>已签到</t>
        </is>
      </c>
    </row>
    <row r="85">
      <c r="A85" s="2" t="n">
        <v>84</v>
      </c>
      <c r="B85" s="3" t="inlineStr">
        <is>
          <t>孙雨</t>
        </is>
      </c>
      <c r="C85" s="3" t="inlineStr">
        <is>
          <t>蓝图网络</t>
        </is>
      </c>
      <c r="D85" s="3" t="inlineStr">
        <is>
          <t>DevOps 工程师</t>
        </is>
      </c>
      <c r="E85" s="3" t="inlineStr">
        <is>
          <t>sunyu84@lantoo.net</t>
        </is>
      </c>
      <c r="F85" s="2" t="inlineStr">
        <is>
          <t>13514813517</t>
        </is>
      </c>
      <c r="G85" s="2" t="inlineStr">
        <is>
          <t>标准</t>
        </is>
      </c>
      <c r="H85" s="2" t="inlineStr">
        <is>
          <t>素食</t>
        </is>
      </c>
      <c r="I85" s="2" t="inlineStr">
        <is>
          <t>XL</t>
        </is>
      </c>
      <c r="J85" s="4" t="n">
        <v>46148</v>
      </c>
      <c r="K85" s="2" t="inlineStr">
        <is>
          <t>已签到</t>
        </is>
      </c>
    </row>
    <row r="86">
      <c r="A86" s="2" t="n">
        <v>85</v>
      </c>
      <c r="B86" s="3" t="inlineStr">
        <is>
          <t>赵嘉</t>
        </is>
      </c>
      <c r="C86" s="3" t="inlineStr">
        <is>
          <t>微光信息</t>
        </is>
      </c>
      <c r="D86" s="3" t="inlineStr">
        <is>
          <t>产品经理</t>
        </is>
      </c>
      <c r="E86" s="3" t="inlineStr">
        <is>
          <t>zhaojia85@glimmer-info.cn</t>
        </is>
      </c>
      <c r="F86" s="2" t="inlineStr">
        <is>
          <t>18848778065</t>
        </is>
      </c>
      <c r="G86" s="2" t="inlineStr">
        <is>
          <t>标准</t>
        </is>
      </c>
      <c r="H86" s="2" t="inlineStr">
        <is>
          <t>标准</t>
        </is>
      </c>
      <c r="I86" s="2" t="inlineStr">
        <is>
          <t>XL</t>
        </is>
      </c>
      <c r="J86" s="4" t="n">
        <v>46141</v>
      </c>
      <c r="K86" s="2" t="inlineStr">
        <is>
          <t>已签到</t>
        </is>
      </c>
    </row>
    <row r="87">
      <c r="A87" s="2" t="n">
        <v>86</v>
      </c>
      <c r="B87" s="3" t="inlineStr">
        <is>
          <t>谢然</t>
        </is>
      </c>
      <c r="C87" s="3" t="inlineStr">
        <is>
          <t>领航智造</t>
        </is>
      </c>
      <c r="D87" s="3" t="inlineStr">
        <is>
          <t>DevOps 工程师</t>
        </is>
      </c>
      <c r="E87" s="3" t="inlineStr">
        <is>
          <t>xieran86@navi-mfg.com</t>
        </is>
      </c>
      <c r="F87" s="2" t="inlineStr">
        <is>
          <t>13813159199</t>
        </is>
      </c>
      <c r="G87" s="2" t="inlineStr">
        <is>
          <t>标准</t>
        </is>
      </c>
      <c r="H87" s="2" t="inlineStr">
        <is>
          <t>清真</t>
        </is>
      </c>
      <c r="I87" s="2" t="inlineStr">
        <is>
          <t>M</t>
        </is>
      </c>
      <c r="J87" s="4" t="n">
        <v>46142</v>
      </c>
      <c r="K87" s="2" t="inlineStr">
        <is>
          <t>已签到</t>
        </is>
      </c>
    </row>
    <row r="88">
      <c r="A88" s="2" t="n">
        <v>87</v>
      </c>
      <c r="B88" s="3" t="inlineStr">
        <is>
          <t>杨娟</t>
        </is>
      </c>
      <c r="C88" s="3" t="inlineStr">
        <is>
          <t>智汇云</t>
        </is>
      </c>
      <c r="D88" s="3" t="inlineStr">
        <is>
          <t>数据工程师</t>
        </is>
      </c>
      <c r="E88" s="3" t="inlineStr">
        <is>
          <t>yangjuan87@zhihui-cloud.com</t>
        </is>
      </c>
      <c r="F88" s="2" t="inlineStr">
        <is>
          <t>13693194836</t>
        </is>
      </c>
      <c r="G88" s="2" t="inlineStr">
        <is>
          <t>标准</t>
        </is>
      </c>
      <c r="H88" s="2" t="inlineStr">
        <is>
          <t>清真</t>
        </is>
      </c>
      <c r="I88" s="2" t="inlineStr">
        <is>
          <t>S</t>
        </is>
      </c>
      <c r="J88" s="4" t="n">
        <v>46156</v>
      </c>
      <c r="K88" s="2" t="inlineStr">
        <is>
          <t>已签到</t>
        </is>
      </c>
    </row>
    <row r="89">
      <c r="A89" s="2" t="n">
        <v>88</v>
      </c>
      <c r="B89" s="3" t="inlineStr">
        <is>
          <t>董敏博</t>
        </is>
      </c>
      <c r="C89" s="3" t="inlineStr">
        <is>
          <t>深蓝计算</t>
        </is>
      </c>
      <c r="D89" s="3" t="inlineStr">
        <is>
          <t>全栈工程师</t>
        </is>
      </c>
      <c r="E89" s="3" t="inlineStr">
        <is>
          <t>dongminbo88@deepblue-comp.com</t>
        </is>
      </c>
      <c r="F89" s="2" t="inlineStr">
        <is>
          <t>13570709057</t>
        </is>
      </c>
      <c r="G89" s="2" t="inlineStr">
        <is>
          <t>标准</t>
        </is>
      </c>
      <c r="H89" s="2" t="inlineStr">
        <is>
          <t>清真</t>
        </is>
      </c>
      <c r="I89" s="2" t="inlineStr">
        <is>
          <t>L</t>
        </is>
      </c>
      <c r="J89" s="4" t="n">
        <v>46151</v>
      </c>
      <c r="K89" s="2" t="inlineStr">
        <is>
          <t>已签到</t>
        </is>
      </c>
    </row>
    <row r="90">
      <c r="A90" s="2" t="n">
        <v>89</v>
      </c>
      <c r="B90" s="3" t="inlineStr">
        <is>
          <t>陈秀</t>
        </is>
      </c>
      <c r="C90" s="3" t="inlineStr">
        <is>
          <t>启元软件</t>
        </is>
      </c>
      <c r="D90" s="3" t="inlineStr">
        <is>
          <t>技术经理</t>
        </is>
      </c>
      <c r="E90" s="3" t="inlineStr">
        <is>
          <t>chenxiu89@qiyuan-soft.com</t>
        </is>
      </c>
      <c r="F90" s="2" t="inlineStr">
        <is>
          <t>18821934855</t>
        </is>
      </c>
      <c r="G90" s="2" t="inlineStr">
        <is>
          <t>标准</t>
        </is>
      </c>
      <c r="H90" s="2" t="inlineStr">
        <is>
          <t>标准</t>
        </is>
      </c>
      <c r="I90" s="2" t="inlineStr">
        <is>
          <t>M</t>
        </is>
      </c>
      <c r="J90" s="4" t="n">
        <v>46112</v>
      </c>
      <c r="K90" s="2" t="inlineStr">
        <is>
          <t>已签到</t>
        </is>
      </c>
    </row>
    <row r="91">
      <c r="A91" s="2" t="n">
        <v>90</v>
      </c>
      <c r="B91" s="3" t="inlineStr">
        <is>
          <t>吴娟</t>
        </is>
      </c>
      <c r="C91" s="3" t="inlineStr">
        <is>
          <t>蓝图网络</t>
        </is>
      </c>
      <c r="D91" s="3" t="inlineStr">
        <is>
          <t>数据工程师</t>
        </is>
      </c>
      <c r="E91" s="3" t="inlineStr">
        <is>
          <t>wujuan90@lantoo.net</t>
        </is>
      </c>
      <c r="F91" s="2" t="inlineStr">
        <is>
          <t>13841309220</t>
        </is>
      </c>
      <c r="G91" s="2" t="inlineStr">
        <is>
          <t>标准</t>
        </is>
      </c>
      <c r="H91" s="2" t="inlineStr">
        <is>
          <t>标准</t>
        </is>
      </c>
      <c r="I91" s="2" t="inlineStr">
        <is>
          <t>L</t>
        </is>
      </c>
      <c r="J91" s="4" t="n">
        <v>46152</v>
      </c>
      <c r="K91" s="2" t="inlineStr">
        <is>
          <t>请假</t>
        </is>
      </c>
    </row>
    <row r="92">
      <c r="A92" s="2" t="n">
        <v>91</v>
      </c>
      <c r="B92" s="3" t="inlineStr">
        <is>
          <t>黄嘉</t>
        </is>
      </c>
      <c r="C92" s="3" t="inlineStr">
        <is>
          <t>领航智造</t>
        </is>
      </c>
      <c r="D92" s="3" t="inlineStr">
        <is>
          <t>后端开发</t>
        </is>
      </c>
      <c r="E92" s="3" t="inlineStr">
        <is>
          <t>huangjia91@navi-mfg.com</t>
        </is>
      </c>
      <c r="F92" s="2" t="inlineStr">
        <is>
          <t>13654976627</t>
        </is>
      </c>
      <c r="G92" s="2" t="inlineStr">
        <is>
          <t>标准</t>
        </is>
      </c>
      <c r="H92" s="2" t="inlineStr">
        <is>
          <t>标准</t>
        </is>
      </c>
      <c r="I92" s="2" t="inlineStr">
        <is>
          <t>M</t>
        </is>
      </c>
      <c r="J92" s="4" t="n">
        <v>46152</v>
      </c>
      <c r="K92" s="2" t="inlineStr">
        <is>
          <t>未签到</t>
        </is>
      </c>
    </row>
    <row r="93">
      <c r="A93" s="2" t="n">
        <v>92</v>
      </c>
      <c r="B93" s="3" t="inlineStr">
        <is>
          <t>彭静宇</t>
        </is>
      </c>
      <c r="C93" s="3" t="inlineStr">
        <is>
          <t>极光数据</t>
        </is>
      </c>
      <c r="D93" s="3" t="inlineStr">
        <is>
          <t>产品经理</t>
        </is>
      </c>
      <c r="E93" s="3" t="inlineStr">
        <is>
          <t>pengjingyu92@aurora-data.cn</t>
        </is>
      </c>
      <c r="F93" s="2" t="inlineStr">
        <is>
          <t>18631742188</t>
        </is>
      </c>
      <c r="G93" s="2" t="inlineStr">
        <is>
          <t>标准</t>
        </is>
      </c>
      <c r="H93" s="2" t="inlineStr">
        <is>
          <t>标准</t>
        </is>
      </c>
      <c r="I93" s="2" t="inlineStr">
        <is>
          <t>XL</t>
        </is>
      </c>
      <c r="J93" s="4" t="n">
        <v>46150</v>
      </c>
      <c r="K93" s="2" t="inlineStr">
        <is>
          <t>已签到</t>
        </is>
      </c>
    </row>
    <row r="94">
      <c r="A94" s="2" t="n">
        <v>93</v>
      </c>
      <c r="B94" s="3" t="inlineStr">
        <is>
          <t>彭勇</t>
        </is>
      </c>
      <c r="C94" s="3" t="inlineStr">
        <is>
          <t>云栖智能</t>
        </is>
      </c>
      <c r="D94" s="3" t="inlineStr">
        <is>
          <t>后端开发</t>
        </is>
      </c>
      <c r="E94" s="3" t="inlineStr">
        <is>
          <t>pengyong93@yunqi-ai.com</t>
        </is>
      </c>
      <c r="F94" s="2" t="inlineStr">
        <is>
          <t>15934059445</t>
        </is>
      </c>
      <c r="G94" s="2" t="inlineStr">
        <is>
          <t>标准</t>
        </is>
      </c>
      <c r="H94" s="2" t="inlineStr">
        <is>
          <t>标准</t>
        </is>
      </c>
      <c r="I94" s="2" t="inlineStr">
        <is>
          <t>M</t>
        </is>
      </c>
      <c r="J94" s="4" t="n">
        <v>46124</v>
      </c>
      <c r="K94" s="2" t="inlineStr">
        <is>
          <t>已签到</t>
        </is>
      </c>
    </row>
    <row r="95">
      <c r="A95" s="2" t="n">
        <v>94</v>
      </c>
      <c r="B95" s="3" t="inlineStr">
        <is>
          <t>韩涛洋</t>
        </is>
      </c>
      <c r="C95" s="3" t="inlineStr">
        <is>
          <t>智汇云</t>
        </is>
      </c>
      <c r="D95" s="3" t="inlineStr">
        <is>
          <t>全栈工程师</t>
        </is>
      </c>
      <c r="E95" s="3" t="inlineStr">
        <is>
          <t>hantaoyang94@zhihui-cloud.com</t>
        </is>
      </c>
      <c r="F95" s="2" t="inlineStr">
        <is>
          <t>13984765114</t>
        </is>
      </c>
      <c r="G95" s="2" t="inlineStr">
        <is>
          <t>标准</t>
        </is>
      </c>
      <c r="H95" s="2" t="inlineStr">
        <is>
          <t>无麸质</t>
        </is>
      </c>
      <c r="I95" s="2" t="inlineStr">
        <is>
          <t>XL</t>
        </is>
      </c>
      <c r="J95" s="4" t="n">
        <v>46085</v>
      </c>
      <c r="K95" s="2" t="inlineStr">
        <is>
          <t>已签到</t>
        </is>
      </c>
    </row>
    <row r="96">
      <c r="A96" s="2" t="n">
        <v>95</v>
      </c>
      <c r="B96" s="3" t="inlineStr">
        <is>
          <t>蒋秀</t>
        </is>
      </c>
      <c r="C96" s="3" t="inlineStr">
        <is>
          <t>云栖智能</t>
        </is>
      </c>
      <c r="D96" s="3" t="inlineStr">
        <is>
          <t>DevOps 工程师</t>
        </is>
      </c>
      <c r="E96" s="3" t="inlineStr">
        <is>
          <t>jiangxiu95@yunqi-ai.com</t>
        </is>
      </c>
      <c r="F96" s="2" t="inlineStr">
        <is>
          <t>13510428185</t>
        </is>
      </c>
      <c r="G96" s="2" t="inlineStr">
        <is>
          <t>标准</t>
        </is>
      </c>
      <c r="H96" s="2" t="inlineStr">
        <is>
          <t>标准</t>
        </is>
      </c>
      <c r="I96" s="2" t="inlineStr">
        <is>
          <t>M</t>
        </is>
      </c>
      <c r="J96" s="4" t="n">
        <v>46146</v>
      </c>
      <c r="K96" s="2" t="inlineStr">
        <is>
          <t>已签到</t>
        </is>
      </c>
    </row>
    <row r="97">
      <c r="A97" s="2" t="n">
        <v>96</v>
      </c>
      <c r="B97" s="3" t="inlineStr">
        <is>
          <t>孙宁</t>
        </is>
      </c>
      <c r="C97" s="3" t="inlineStr">
        <is>
          <t>南岭智联</t>
        </is>
      </c>
      <c r="D97" s="3" t="inlineStr">
        <is>
          <t>后端开发</t>
        </is>
      </c>
      <c r="E97" s="3" t="inlineStr">
        <is>
          <t>sunning96@nanling-iot.cn</t>
        </is>
      </c>
      <c r="F97" s="2" t="inlineStr">
        <is>
          <t>15970921153</t>
        </is>
      </c>
      <c r="G97" s="2" t="inlineStr">
        <is>
          <t>标准</t>
        </is>
      </c>
      <c r="H97" s="2" t="inlineStr">
        <is>
          <t>素食</t>
        </is>
      </c>
      <c r="I97" s="2" t="inlineStr">
        <is>
          <t>S</t>
        </is>
      </c>
      <c r="J97" s="4" t="n">
        <v>46111</v>
      </c>
      <c r="K97" s="2" t="inlineStr">
        <is>
          <t>未签到</t>
        </is>
      </c>
    </row>
    <row r="98">
      <c r="A98" s="2" t="n">
        <v>97</v>
      </c>
      <c r="B98" s="3" t="inlineStr">
        <is>
          <t>黄秀</t>
        </is>
      </c>
      <c r="C98" s="3" t="inlineStr">
        <is>
          <t>星瀚科技</t>
        </is>
      </c>
      <c r="D98" s="3" t="inlineStr">
        <is>
          <t>数据工程师</t>
        </is>
      </c>
      <c r="E98" s="3" t="inlineStr">
        <is>
          <t>huangxiu97@xinghan-tech.com</t>
        </is>
      </c>
      <c r="F98" s="2" t="inlineStr">
        <is>
          <t>13896923366</t>
        </is>
      </c>
      <c r="G98" s="2" t="inlineStr">
        <is>
          <t>标准</t>
        </is>
      </c>
      <c r="H98" s="2" t="inlineStr">
        <is>
          <t>素食</t>
        </is>
      </c>
      <c r="I98" s="2" t="inlineStr">
        <is>
          <t>M</t>
        </is>
      </c>
      <c r="J98" s="4" t="n">
        <v>46106</v>
      </c>
      <c r="K98" s="2" t="inlineStr">
        <is>
          <t>已签到</t>
        </is>
      </c>
    </row>
    <row r="99">
      <c r="A99" s="2" t="n">
        <v>98</v>
      </c>
      <c r="B99" s="3" t="inlineStr">
        <is>
          <t>曹宁</t>
        </is>
      </c>
      <c r="C99" s="3" t="inlineStr">
        <is>
          <t>蜂巢科技</t>
        </is>
      </c>
      <c r="D99" s="3" t="inlineStr">
        <is>
          <t>产品经理</t>
        </is>
      </c>
      <c r="E99" s="3" t="inlineStr">
        <is>
          <t>caoning98@hive-tech.cn</t>
        </is>
      </c>
      <c r="F99" s="2" t="inlineStr">
        <is>
          <t>18618238591</t>
        </is>
      </c>
      <c r="G99" s="2" t="inlineStr">
        <is>
          <t>标准</t>
        </is>
      </c>
      <c r="H99" s="2" t="inlineStr">
        <is>
          <t>素食</t>
        </is>
      </c>
      <c r="I99" s="2" t="inlineStr">
        <is>
          <t>M</t>
        </is>
      </c>
      <c r="J99" s="4" t="n">
        <v>46155</v>
      </c>
      <c r="K99" s="2" t="inlineStr">
        <is>
          <t>已签到</t>
        </is>
      </c>
    </row>
    <row r="100">
      <c r="A100" s="2" t="n">
        <v>99</v>
      </c>
      <c r="B100" s="3" t="inlineStr">
        <is>
          <t>马宇</t>
        </is>
      </c>
      <c r="C100" s="3" t="inlineStr">
        <is>
          <t>云栖智能</t>
        </is>
      </c>
      <c r="D100" s="3" t="inlineStr">
        <is>
          <t>DevOps 工程师</t>
        </is>
      </c>
      <c r="E100" s="3" t="inlineStr">
        <is>
          <t>mayu99@yunqi-ai.com</t>
        </is>
      </c>
      <c r="F100" s="2" t="inlineStr">
        <is>
          <t>18659557002</t>
        </is>
      </c>
      <c r="G100" s="2" t="inlineStr">
        <is>
          <t>标准</t>
        </is>
      </c>
      <c r="H100" s="2" t="inlineStr">
        <is>
          <t>标准</t>
        </is>
      </c>
      <c r="I100" s="2" t="inlineStr">
        <is>
          <t>M</t>
        </is>
      </c>
      <c r="J100" s="4" t="n">
        <v>46121</v>
      </c>
      <c r="K100" s="2" t="inlineStr">
        <is>
          <t>已签到</t>
        </is>
      </c>
    </row>
    <row r="101">
      <c r="A101" s="2" t="n">
        <v>100</v>
      </c>
      <c r="B101" s="3" t="inlineStr">
        <is>
          <t>吴欣勇</t>
        </is>
      </c>
      <c r="C101" s="3" t="inlineStr">
        <is>
          <t>蜂巢科技</t>
        </is>
      </c>
      <c r="D101" s="3" t="inlineStr">
        <is>
          <t>解决方案架构师</t>
        </is>
      </c>
      <c r="E101" s="3" t="inlineStr">
        <is>
          <t>wuxinyong100@hive-tech.cn</t>
        </is>
      </c>
      <c r="F101" s="2" t="inlineStr">
        <is>
          <t>18666403089</t>
        </is>
      </c>
      <c r="G101" s="2" t="inlineStr">
        <is>
          <t>标准</t>
        </is>
      </c>
      <c r="H101" s="2" t="inlineStr">
        <is>
          <t>无麸质</t>
        </is>
      </c>
      <c r="I101" s="2" t="inlineStr">
        <is>
          <t>M</t>
        </is>
      </c>
      <c r="J101" s="4" t="n">
        <v>46110</v>
      </c>
      <c r="K101" s="2" t="inlineStr">
        <is>
          <t>已签到</t>
        </is>
      </c>
    </row>
    <row r="102">
      <c r="A102" s="2" t="n">
        <v>101</v>
      </c>
      <c r="B102" s="3" t="inlineStr">
        <is>
          <t>马丽雨</t>
        </is>
      </c>
      <c r="C102" s="3" t="inlineStr">
        <is>
          <t>灵犀科技</t>
        </is>
      </c>
      <c r="D102" s="3" t="inlineStr">
        <is>
          <t>测试工程师</t>
        </is>
      </c>
      <c r="E102" s="3" t="inlineStr">
        <is>
          <t>maliyu101@lingxi-labs.cn</t>
        </is>
      </c>
      <c r="F102" s="2" t="inlineStr">
        <is>
          <t>13802210045</t>
        </is>
      </c>
      <c r="G102" s="2" t="inlineStr">
        <is>
          <t>标准</t>
        </is>
      </c>
      <c r="H102" s="2" t="inlineStr">
        <is>
          <t>标准</t>
        </is>
      </c>
      <c r="I102" s="2" t="inlineStr">
        <is>
          <t>XL</t>
        </is>
      </c>
      <c r="J102" s="4" t="n">
        <v>46110</v>
      </c>
      <c r="K102" s="2" t="inlineStr">
        <is>
          <t>已签到</t>
        </is>
      </c>
    </row>
    <row r="103">
      <c r="A103" s="2" t="n">
        <v>102</v>
      </c>
      <c r="B103" s="3" t="inlineStr">
        <is>
          <t>韩宇</t>
        </is>
      </c>
      <c r="C103" s="3" t="inlineStr">
        <is>
          <t>深蓝计算</t>
        </is>
      </c>
      <c r="D103" s="3" t="inlineStr">
        <is>
          <t>产品经理</t>
        </is>
      </c>
      <c r="E103" s="3" t="inlineStr">
        <is>
          <t>hanyu102@deepblue-comp.com</t>
        </is>
      </c>
      <c r="F103" s="2" t="inlineStr">
        <is>
          <t>18638592671</t>
        </is>
      </c>
      <c r="G103" s="2" t="inlineStr">
        <is>
          <t>标准</t>
        </is>
      </c>
      <c r="H103" s="2" t="inlineStr">
        <is>
          <t>标准</t>
        </is>
      </c>
      <c r="I103" s="2" t="inlineStr">
        <is>
          <t>L</t>
        </is>
      </c>
      <c r="J103" s="4" t="n">
        <v>46140</v>
      </c>
      <c r="K103" s="2" t="inlineStr">
        <is>
          <t>未签到</t>
        </is>
      </c>
    </row>
    <row r="104">
      <c r="A104" s="2" t="n">
        <v>103</v>
      </c>
      <c r="B104" s="3" t="inlineStr">
        <is>
          <t>潘嘉</t>
        </is>
      </c>
      <c r="C104" s="3" t="inlineStr">
        <is>
          <t>智汇云</t>
        </is>
      </c>
      <c r="D104" s="3" t="inlineStr">
        <is>
          <t>数据工程师</t>
        </is>
      </c>
      <c r="E104" s="3" t="inlineStr">
        <is>
          <t>panjia103@zhihui-cloud.com</t>
        </is>
      </c>
      <c r="F104" s="2" t="inlineStr">
        <is>
          <t>18828300818</t>
        </is>
      </c>
      <c r="G104" s="2" t="inlineStr">
        <is>
          <t>标准</t>
        </is>
      </c>
      <c r="H104" s="2" t="inlineStr">
        <is>
          <t>清真</t>
        </is>
      </c>
      <c r="I104" s="2" t="inlineStr">
        <is>
          <t>L</t>
        </is>
      </c>
      <c r="J104" s="4" t="n">
        <v>46123</v>
      </c>
      <c r="K104" s="2" t="inlineStr">
        <is>
          <t>已签到</t>
        </is>
      </c>
    </row>
    <row r="105">
      <c r="A105" s="2" t="n">
        <v>104</v>
      </c>
      <c r="B105" s="3" t="inlineStr">
        <is>
          <t>黄艳娟</t>
        </is>
      </c>
      <c r="C105" s="3" t="inlineStr">
        <is>
          <t>蜂巢科技</t>
        </is>
      </c>
      <c r="D105" s="3" t="inlineStr">
        <is>
          <t>DevOps 工程师</t>
        </is>
      </c>
      <c r="E105" s="3" t="inlineStr">
        <is>
          <t>huangyanjuan104@hive-tech.cn</t>
        </is>
      </c>
      <c r="F105" s="2" t="inlineStr">
        <is>
          <t>15986737814</t>
        </is>
      </c>
      <c r="G105" s="2" t="inlineStr">
        <is>
          <t>标准</t>
        </is>
      </c>
      <c r="H105" s="2" t="inlineStr">
        <is>
          <t>素食</t>
        </is>
      </c>
      <c r="I105" s="2" t="inlineStr">
        <is>
          <t>S</t>
        </is>
      </c>
      <c r="J105" s="4" t="n">
        <v>46119</v>
      </c>
      <c r="K105" s="2" t="inlineStr">
        <is>
          <t>已签到</t>
        </is>
      </c>
    </row>
    <row r="106">
      <c r="A106" s="2" t="n">
        <v>105</v>
      </c>
      <c r="B106" s="3" t="inlineStr">
        <is>
          <t>何子秀</t>
        </is>
      </c>
      <c r="C106" s="3" t="inlineStr">
        <is>
          <t>蓝图网络</t>
        </is>
      </c>
      <c r="D106" s="3" t="inlineStr">
        <is>
          <t>技术经理</t>
        </is>
      </c>
      <c r="E106" s="3" t="inlineStr">
        <is>
          <t>hezixiu105@lantoo.net</t>
        </is>
      </c>
      <c r="F106" s="2" t="inlineStr">
        <is>
          <t>13563924361</t>
        </is>
      </c>
      <c r="G106" s="2" t="inlineStr">
        <is>
          <t>标准</t>
        </is>
      </c>
      <c r="H106" s="2" t="inlineStr">
        <is>
          <t>清真</t>
        </is>
      </c>
      <c r="I106" s="2" t="inlineStr">
        <is>
          <t>S</t>
        </is>
      </c>
      <c r="J106" s="4" t="n">
        <v>46098</v>
      </c>
      <c r="K106" s="2" t="inlineStr">
        <is>
          <t>未签到</t>
        </is>
      </c>
    </row>
    <row r="107">
      <c r="A107" s="2" t="n">
        <v>106</v>
      </c>
      <c r="B107" s="3" t="inlineStr">
        <is>
          <t>何艳超</t>
        </is>
      </c>
      <c r="C107" s="3" t="inlineStr">
        <is>
          <t>领航智造</t>
        </is>
      </c>
      <c r="D107" s="3" t="inlineStr">
        <is>
          <t>后端开发</t>
        </is>
      </c>
      <c r="E107" s="3" t="inlineStr">
        <is>
          <t>heyanchao106@navi-mfg.com</t>
        </is>
      </c>
      <c r="F107" s="2" t="inlineStr">
        <is>
          <t>18672199518</t>
        </is>
      </c>
      <c r="G107" s="2" t="inlineStr">
        <is>
          <t>标准</t>
        </is>
      </c>
      <c r="H107" s="2" t="inlineStr">
        <is>
          <t>素食</t>
        </is>
      </c>
      <c r="I107" s="2" t="inlineStr">
        <is>
          <t>L</t>
        </is>
      </c>
      <c r="J107" s="4" t="n">
        <v>46112</v>
      </c>
      <c r="K107" s="2" t="inlineStr">
        <is>
          <t>已签到</t>
        </is>
      </c>
    </row>
    <row r="108">
      <c r="A108" s="2" t="n">
        <v>107</v>
      </c>
      <c r="B108" s="3" t="inlineStr">
        <is>
          <t>韩明</t>
        </is>
      </c>
      <c r="C108" s="3" t="inlineStr">
        <is>
          <t>启元软件</t>
        </is>
      </c>
      <c r="D108" s="3" t="inlineStr">
        <is>
          <t>测试工程师</t>
        </is>
      </c>
      <c r="E108" s="3" t="inlineStr">
        <is>
          <t>hanming107@qiyuan-soft.com</t>
        </is>
      </c>
      <c r="F108" s="2" t="inlineStr">
        <is>
          <t>15851032270</t>
        </is>
      </c>
      <c r="G108" s="2" t="inlineStr">
        <is>
          <t>标准</t>
        </is>
      </c>
      <c r="H108" s="2" t="inlineStr">
        <is>
          <t>素食</t>
        </is>
      </c>
      <c r="I108" s="2" t="inlineStr">
        <is>
          <t>L</t>
        </is>
      </c>
      <c r="J108" s="4" t="n">
        <v>46135</v>
      </c>
      <c r="K108" s="2" t="inlineStr">
        <is>
          <t>已签到</t>
        </is>
      </c>
    </row>
    <row r="109">
      <c r="A109" s="2" t="n">
        <v>108</v>
      </c>
      <c r="B109" s="3" t="inlineStr">
        <is>
          <t>王洋芳</t>
        </is>
      </c>
      <c r="C109" s="3" t="inlineStr">
        <is>
          <t>天工智能</t>
        </is>
      </c>
      <c r="D109" s="3" t="inlineStr">
        <is>
          <t>测试工程师</t>
        </is>
      </c>
      <c r="E109" s="3" t="inlineStr">
        <is>
          <t>wangyangfang108@tiangong-ai.com</t>
        </is>
      </c>
      <c r="F109" s="2" t="inlineStr">
        <is>
          <t>15955673040</t>
        </is>
      </c>
      <c r="G109" s="2" t="inlineStr">
        <is>
          <t>标准</t>
        </is>
      </c>
      <c r="H109" s="2" t="inlineStr">
        <is>
          <t>标准</t>
        </is>
      </c>
      <c r="I109" s="2" t="inlineStr">
        <is>
          <t>M</t>
        </is>
      </c>
      <c r="J109" s="4" t="n">
        <v>46147</v>
      </c>
      <c r="K109" s="2" t="inlineStr">
        <is>
          <t>已签到</t>
        </is>
      </c>
    </row>
    <row r="110">
      <c r="A110" s="2" t="n">
        <v>109</v>
      </c>
      <c r="B110" s="3" t="inlineStr">
        <is>
          <t>潘文</t>
        </is>
      </c>
      <c r="C110" s="3" t="inlineStr">
        <is>
          <t>南岭智联</t>
        </is>
      </c>
      <c r="D110" s="3" t="inlineStr">
        <is>
          <t>解决方案架构师</t>
        </is>
      </c>
      <c r="E110" s="3" t="inlineStr">
        <is>
          <t>panwen109@nanling-iot.cn</t>
        </is>
      </c>
      <c r="F110" s="2" t="inlineStr">
        <is>
          <t>13548117160</t>
        </is>
      </c>
      <c r="G110" s="2" t="inlineStr">
        <is>
          <t>标准</t>
        </is>
      </c>
      <c r="H110" s="2" t="inlineStr">
        <is>
          <t>清真</t>
        </is>
      </c>
      <c r="I110" s="2" t="inlineStr">
        <is>
          <t>M</t>
        </is>
      </c>
      <c r="J110" s="4" t="n">
        <v>46150</v>
      </c>
      <c r="K110" s="2" t="inlineStr">
        <is>
          <t>已签到</t>
        </is>
      </c>
    </row>
    <row r="111">
      <c r="A111" s="2" t="n">
        <v>110</v>
      </c>
      <c r="B111" s="3" t="inlineStr">
        <is>
          <t>郭涛洋</t>
        </is>
      </c>
      <c r="C111" s="3" t="inlineStr">
        <is>
          <t>蓝图网络</t>
        </is>
      </c>
      <c r="D111" s="3" t="inlineStr">
        <is>
          <t>算法工程师</t>
        </is>
      </c>
      <c r="E111" s="3" t="inlineStr">
        <is>
          <t>guotaoyang110@lantoo.net</t>
        </is>
      </c>
      <c r="F111" s="2" t="inlineStr">
        <is>
          <t>18644437924</t>
        </is>
      </c>
      <c r="G111" s="2" t="inlineStr">
        <is>
          <t>标准</t>
        </is>
      </c>
      <c r="H111" s="2" t="inlineStr">
        <is>
          <t>素食</t>
        </is>
      </c>
      <c r="I111" s="2" t="inlineStr">
        <is>
          <t>L</t>
        </is>
      </c>
      <c r="J111" s="4" t="n">
        <v>46144</v>
      </c>
      <c r="K111" s="2" t="inlineStr">
        <is>
          <t>已签到</t>
        </is>
      </c>
    </row>
    <row r="112">
      <c r="A112" s="2" t="n">
        <v>111</v>
      </c>
      <c r="B112" s="3" t="inlineStr">
        <is>
          <t>彭雨</t>
        </is>
      </c>
      <c r="C112" s="3" t="inlineStr">
        <is>
          <t>云栖智能</t>
        </is>
      </c>
      <c r="D112" s="3" t="inlineStr">
        <is>
          <t>算法工程师</t>
        </is>
      </c>
      <c r="E112" s="3" t="inlineStr">
        <is>
          <t>pengyu111@yunqi-ai.com</t>
        </is>
      </c>
      <c r="F112" s="2" t="inlineStr">
        <is>
          <t>13582359879</t>
        </is>
      </c>
      <c r="G112" s="2" t="inlineStr">
        <is>
          <t>标准</t>
        </is>
      </c>
      <c r="H112" s="2" t="inlineStr">
        <is>
          <t>清真</t>
        </is>
      </c>
      <c r="I112" s="2" t="inlineStr">
        <is>
          <t>L</t>
        </is>
      </c>
      <c r="J112" s="4" t="n">
        <v>46143</v>
      </c>
      <c r="K112" s="2" t="inlineStr">
        <is>
          <t>已签到</t>
        </is>
      </c>
    </row>
    <row r="113">
      <c r="A113" s="2" t="n">
        <v>112</v>
      </c>
      <c r="B113" s="3" t="inlineStr">
        <is>
          <t>郭雨明</t>
        </is>
      </c>
      <c r="C113" s="3" t="inlineStr">
        <is>
          <t>蓝图网络</t>
        </is>
      </c>
      <c r="D113" s="3" t="inlineStr">
        <is>
          <t>数据工程师</t>
        </is>
      </c>
      <c r="E113" s="3" t="inlineStr">
        <is>
          <t>guoyuming112@lantoo.net</t>
        </is>
      </c>
      <c r="F113" s="2" t="inlineStr">
        <is>
          <t>18818404780</t>
        </is>
      </c>
      <c r="G113" s="2" t="inlineStr">
        <is>
          <t>标准</t>
        </is>
      </c>
      <c r="H113" s="2" t="inlineStr">
        <is>
          <t>标准</t>
        </is>
      </c>
      <c r="I113" s="2" t="inlineStr">
        <is>
          <t>L</t>
        </is>
      </c>
      <c r="J113" s="4" t="n">
        <v>46123</v>
      </c>
      <c r="K113" s="2" t="inlineStr">
        <is>
          <t>未签到</t>
        </is>
      </c>
    </row>
    <row r="114">
      <c r="A114" s="2" t="n">
        <v>113</v>
      </c>
      <c r="B114" s="3" t="inlineStr">
        <is>
          <t>刘娟杰</t>
        </is>
      </c>
      <c r="C114" s="3" t="inlineStr">
        <is>
          <t>灵犀科技</t>
        </is>
      </c>
      <c r="D114" s="3" t="inlineStr">
        <is>
          <t>算法工程师</t>
        </is>
      </c>
      <c r="E114" s="3" t="inlineStr">
        <is>
          <t>liujuanjie113@lingxi-labs.cn</t>
        </is>
      </c>
      <c r="F114" s="2" t="inlineStr">
        <is>
          <t>13567887687</t>
        </is>
      </c>
      <c r="G114" s="2" t="inlineStr">
        <is>
          <t>标准</t>
        </is>
      </c>
      <c r="H114" s="2" t="inlineStr">
        <is>
          <t>标准</t>
        </is>
      </c>
      <c r="I114" s="2" t="inlineStr">
        <is>
          <t>XL</t>
        </is>
      </c>
      <c r="J114" s="4" t="n">
        <v>46083</v>
      </c>
      <c r="K114" s="2" t="inlineStr">
        <is>
          <t>未签到</t>
        </is>
      </c>
    </row>
    <row r="115">
      <c r="A115" s="2" t="n">
        <v>114</v>
      </c>
      <c r="B115" s="3" t="inlineStr">
        <is>
          <t>蒋涛</t>
        </is>
      </c>
      <c r="C115" s="3" t="inlineStr">
        <is>
          <t>智汇云</t>
        </is>
      </c>
      <c r="D115" s="3" t="inlineStr">
        <is>
          <t>DevOps 工程师</t>
        </is>
      </c>
      <c r="E115" s="3" t="inlineStr">
        <is>
          <t>jiangtao114@zhihui-cloud.com</t>
        </is>
      </c>
      <c r="F115" s="2" t="inlineStr">
        <is>
          <t>13533558129</t>
        </is>
      </c>
      <c r="G115" s="2" t="inlineStr">
        <is>
          <t>标准</t>
        </is>
      </c>
      <c r="H115" s="2" t="inlineStr">
        <is>
          <t>标准</t>
        </is>
      </c>
      <c r="I115" s="2" t="inlineStr">
        <is>
          <t>XXL</t>
        </is>
      </c>
      <c r="J115" s="4" t="n">
        <v>46146</v>
      </c>
      <c r="K115" s="2" t="inlineStr">
        <is>
          <t>已签到</t>
        </is>
      </c>
    </row>
    <row r="116">
      <c r="A116" s="2" t="n">
        <v>115</v>
      </c>
      <c r="B116" s="3" t="inlineStr">
        <is>
          <t>蒋怡</t>
        </is>
      </c>
      <c r="C116" s="3" t="inlineStr">
        <is>
          <t>云栖智能</t>
        </is>
      </c>
      <c r="D116" s="3" t="inlineStr">
        <is>
          <t>后端开发</t>
        </is>
      </c>
      <c r="E116" s="3" t="inlineStr">
        <is>
          <t>jiangyi115@yunqi-ai.com</t>
        </is>
      </c>
      <c r="F116" s="2" t="inlineStr">
        <is>
          <t>13837079342</t>
        </is>
      </c>
      <c r="G116" s="2" t="inlineStr">
        <is>
          <t>标准</t>
        </is>
      </c>
      <c r="H116" s="2" t="inlineStr">
        <is>
          <t>标准</t>
        </is>
      </c>
      <c r="I116" s="2" t="inlineStr">
        <is>
          <t>L</t>
        </is>
      </c>
      <c r="J116" s="4" t="n">
        <v>46117</v>
      </c>
      <c r="K116" s="2" t="inlineStr">
        <is>
          <t>未签到</t>
        </is>
      </c>
    </row>
    <row r="117">
      <c r="A117" s="2" t="n">
        <v>116</v>
      </c>
      <c r="B117" s="3" t="inlineStr">
        <is>
          <t>赵文</t>
        </is>
      </c>
      <c r="C117" s="3" t="inlineStr">
        <is>
          <t>光合数字</t>
        </is>
      </c>
      <c r="D117" s="3" t="inlineStr">
        <is>
          <t>DevOps 工程师</t>
        </is>
      </c>
      <c r="E117" s="3" t="inlineStr">
        <is>
          <t>zhaowen116@photosyn-digital.com</t>
        </is>
      </c>
      <c r="F117" s="2" t="inlineStr">
        <is>
          <t>18886751562</t>
        </is>
      </c>
      <c r="G117" s="2" t="inlineStr">
        <is>
          <t>标准</t>
        </is>
      </c>
      <c r="H117" s="2" t="inlineStr">
        <is>
          <t>标准</t>
        </is>
      </c>
      <c r="I117" s="2" t="inlineStr">
        <is>
          <t>S</t>
        </is>
      </c>
      <c r="J117" s="4" t="n">
        <v>46154</v>
      </c>
      <c r="K117" s="2" t="inlineStr">
        <is>
          <t>已签到</t>
        </is>
      </c>
    </row>
    <row r="118">
      <c r="A118" s="2" t="n">
        <v>117</v>
      </c>
      <c r="B118" s="3" t="inlineStr">
        <is>
          <t>梁明泽</t>
        </is>
      </c>
      <c r="C118" s="3" t="inlineStr">
        <is>
          <t>星瀚科技</t>
        </is>
      </c>
      <c r="D118" s="3" t="inlineStr">
        <is>
          <t>前端开发</t>
        </is>
      </c>
      <c r="E118" s="3" t="inlineStr">
        <is>
          <t>liangmingze117@xinghan-tech.com</t>
        </is>
      </c>
      <c r="F118" s="2" t="inlineStr">
        <is>
          <t>13828202085</t>
        </is>
      </c>
      <c r="G118" s="2" t="inlineStr">
        <is>
          <t>标准</t>
        </is>
      </c>
      <c r="H118" s="2" t="inlineStr">
        <is>
          <t>标准</t>
        </is>
      </c>
      <c r="I118" s="2" t="inlineStr">
        <is>
          <t>L</t>
        </is>
      </c>
      <c r="J118" s="4" t="n">
        <v>46130</v>
      </c>
      <c r="K118" s="2" t="inlineStr">
        <is>
          <t>已签到</t>
        </is>
      </c>
    </row>
    <row r="119">
      <c r="A119" s="2" t="n">
        <v>118</v>
      </c>
      <c r="B119" s="3" t="inlineStr">
        <is>
          <t>林涛彤</t>
        </is>
      </c>
      <c r="C119" s="3" t="inlineStr">
        <is>
          <t>南岭智联</t>
        </is>
      </c>
      <c r="D119" s="3" t="inlineStr">
        <is>
          <t>解决方案架构师</t>
        </is>
      </c>
      <c r="E119" s="3" t="inlineStr">
        <is>
          <t>lintaotong118@nanling-iot.cn</t>
        </is>
      </c>
      <c r="F119" s="2" t="inlineStr">
        <is>
          <t>15876237969</t>
        </is>
      </c>
      <c r="G119" s="2" t="inlineStr">
        <is>
          <t>标准</t>
        </is>
      </c>
      <c r="H119" s="2" t="inlineStr">
        <is>
          <t>标准</t>
        </is>
      </c>
      <c r="I119" s="2" t="inlineStr">
        <is>
          <t>S</t>
        </is>
      </c>
      <c r="J119" s="4" t="n">
        <v>46151</v>
      </c>
      <c r="K119" s="2" t="inlineStr">
        <is>
          <t>已签到</t>
        </is>
      </c>
    </row>
    <row r="120">
      <c r="A120" s="2" t="n">
        <v>119</v>
      </c>
      <c r="B120" s="3" t="inlineStr">
        <is>
          <t>董子</t>
        </is>
      </c>
      <c r="C120" s="3" t="inlineStr">
        <is>
          <t>星瀚科技</t>
        </is>
      </c>
      <c r="D120" s="3" t="inlineStr">
        <is>
          <t>全栈工程师</t>
        </is>
      </c>
      <c r="E120" s="3" t="inlineStr">
        <is>
          <t>dongzi119@xinghan-tech.com</t>
        </is>
      </c>
      <c r="F120" s="2" t="inlineStr">
        <is>
          <t>13527916674</t>
        </is>
      </c>
      <c r="G120" s="2" t="inlineStr">
        <is>
          <t>标准</t>
        </is>
      </c>
      <c r="H120" s="2" t="inlineStr">
        <is>
          <t>标准</t>
        </is>
      </c>
      <c r="I120" s="2" t="inlineStr">
        <is>
          <t>M</t>
        </is>
      </c>
      <c r="J120" s="4" t="n">
        <v>46113</v>
      </c>
      <c r="K120" s="2" t="inlineStr">
        <is>
          <t>已签到</t>
        </is>
      </c>
    </row>
    <row r="121">
      <c r="A121" s="2" t="n">
        <v>120</v>
      </c>
      <c r="B121" s="3" t="inlineStr">
        <is>
          <t>曹杰</t>
        </is>
      </c>
      <c r="C121" s="3" t="inlineStr">
        <is>
          <t>星瀚科技</t>
        </is>
      </c>
      <c r="D121" s="3" t="inlineStr">
        <is>
          <t>全栈工程师</t>
        </is>
      </c>
      <c r="E121" s="3" t="inlineStr">
        <is>
          <t>caojie120@xinghan-tech.com</t>
        </is>
      </c>
      <c r="F121" s="2" t="inlineStr">
        <is>
          <t>15908767802</t>
        </is>
      </c>
      <c r="G121" s="2" t="inlineStr">
        <is>
          <t>标准</t>
        </is>
      </c>
      <c r="H121" s="2" t="inlineStr">
        <is>
          <t>标准</t>
        </is>
      </c>
      <c r="I121" s="2" t="inlineStr">
        <is>
          <t>L</t>
        </is>
      </c>
      <c r="J121" s="4" t="n">
        <v>46153</v>
      </c>
      <c r="K121" s="2" t="inlineStr">
        <is>
          <t>未签到</t>
        </is>
      </c>
    </row>
    <row r="122">
      <c r="A122" s="2" t="n">
        <v>121</v>
      </c>
      <c r="B122" s="3" t="inlineStr">
        <is>
          <t>蒋芳</t>
        </is>
      </c>
      <c r="C122" s="3" t="inlineStr">
        <is>
          <t>蓝图网络</t>
        </is>
      </c>
      <c r="D122" s="3" t="inlineStr">
        <is>
          <t>前端开发</t>
        </is>
      </c>
      <c r="E122" s="3" t="inlineStr">
        <is>
          <t>jiangfang121@lantoo.net</t>
        </is>
      </c>
      <c r="F122" s="2" t="inlineStr">
        <is>
          <t>13964979148</t>
        </is>
      </c>
      <c r="G122" s="2" t="inlineStr">
        <is>
          <t>标准</t>
        </is>
      </c>
      <c r="H122" s="2" t="inlineStr">
        <is>
          <t>标准</t>
        </is>
      </c>
      <c r="I122" s="2" t="inlineStr">
        <is>
          <t>L</t>
        </is>
      </c>
      <c r="J122" s="4" t="n">
        <v>46134</v>
      </c>
      <c r="K122" s="2" t="inlineStr">
        <is>
          <t>已签到</t>
        </is>
      </c>
    </row>
    <row r="123">
      <c r="A123" s="2" t="n">
        <v>122</v>
      </c>
      <c r="B123" s="3" t="inlineStr">
        <is>
          <t>唐涵</t>
        </is>
      </c>
      <c r="C123" s="3" t="inlineStr">
        <is>
          <t>天工智能</t>
        </is>
      </c>
      <c r="D123" s="3" t="inlineStr">
        <is>
          <t>产品经理</t>
        </is>
      </c>
      <c r="E123" s="3" t="inlineStr">
        <is>
          <t>tanghan122@tiangong-ai.com</t>
        </is>
      </c>
      <c r="F123" s="2" t="inlineStr">
        <is>
          <t>13889542374</t>
        </is>
      </c>
      <c r="G123" s="2" t="inlineStr">
        <is>
          <t>标准</t>
        </is>
      </c>
      <c r="H123" s="2" t="inlineStr">
        <is>
          <t>标准</t>
        </is>
      </c>
      <c r="I123" s="2" t="inlineStr">
        <is>
          <t>XL</t>
        </is>
      </c>
      <c r="J123" s="4" t="n">
        <v>46146</v>
      </c>
      <c r="K123" s="2" t="inlineStr">
        <is>
          <t>已签到</t>
        </is>
      </c>
    </row>
    <row r="124">
      <c r="A124" s="2" t="n">
        <v>123</v>
      </c>
      <c r="B124" s="3" t="inlineStr">
        <is>
          <t>宋霞</t>
        </is>
      </c>
      <c r="C124" s="3" t="inlineStr">
        <is>
          <t>智汇云</t>
        </is>
      </c>
      <c r="D124" s="3" t="inlineStr">
        <is>
          <t>DevOps 工程师</t>
        </is>
      </c>
      <c r="E124" s="3" t="inlineStr">
        <is>
          <t>songxia123@zhihui-cloud.com</t>
        </is>
      </c>
      <c r="F124" s="2" t="inlineStr">
        <is>
          <t>18866748468</t>
        </is>
      </c>
      <c r="G124" s="2" t="inlineStr">
        <is>
          <t>标准</t>
        </is>
      </c>
      <c r="H124" s="2" t="inlineStr">
        <is>
          <t>标准</t>
        </is>
      </c>
      <c r="I124" s="2" t="inlineStr">
        <is>
          <t>L</t>
        </is>
      </c>
      <c r="J124" s="4" t="n">
        <v>46104</v>
      </c>
      <c r="K124" s="2" t="inlineStr">
        <is>
          <t>已签到</t>
        </is>
      </c>
    </row>
    <row r="125">
      <c r="A125" s="2" t="n">
        <v>124</v>
      </c>
      <c r="B125" s="3" t="inlineStr">
        <is>
          <t>杨雨睿</t>
        </is>
      </c>
      <c r="C125" s="3" t="inlineStr">
        <is>
          <t>星瀚科技</t>
        </is>
      </c>
      <c r="D125" s="3" t="inlineStr">
        <is>
          <t>全栈工程师</t>
        </is>
      </c>
      <c r="E125" s="3" t="inlineStr">
        <is>
          <t>yangyurui124@xinghan-tech.com</t>
        </is>
      </c>
      <c r="F125" s="2" t="inlineStr">
        <is>
          <t>18631872187</t>
        </is>
      </c>
      <c r="G125" s="2" t="inlineStr">
        <is>
          <t>标准</t>
        </is>
      </c>
      <c r="H125" s="2" t="inlineStr">
        <is>
          <t>素食</t>
        </is>
      </c>
      <c r="I125" s="2" t="inlineStr">
        <is>
          <t>M</t>
        </is>
      </c>
      <c r="J125" s="4" t="n">
        <v>46132</v>
      </c>
      <c r="K125" s="2" t="inlineStr">
        <is>
          <t>已签到</t>
        </is>
      </c>
    </row>
    <row r="126">
      <c r="A126" s="2" t="n">
        <v>125</v>
      </c>
      <c r="B126" s="3" t="inlineStr">
        <is>
          <t>孙平</t>
        </is>
      </c>
      <c r="C126" s="3" t="inlineStr">
        <is>
          <t>领航智造</t>
        </is>
      </c>
      <c r="D126" s="3" t="inlineStr">
        <is>
          <t>产品经理</t>
        </is>
      </c>
      <c r="E126" s="3" t="inlineStr">
        <is>
          <t>sunping125@navi-mfg.com</t>
        </is>
      </c>
      <c r="F126" s="2" t="inlineStr">
        <is>
          <t>18698607759</t>
        </is>
      </c>
      <c r="G126" s="2" t="inlineStr">
        <is>
          <t>标准</t>
        </is>
      </c>
      <c r="H126" s="2" t="inlineStr">
        <is>
          <t>标准</t>
        </is>
      </c>
      <c r="I126" s="2" t="inlineStr">
        <is>
          <t>XL</t>
        </is>
      </c>
      <c r="J126" s="4" t="n">
        <v>46125</v>
      </c>
      <c r="K126" s="2" t="inlineStr">
        <is>
          <t>已签到</t>
        </is>
      </c>
    </row>
    <row r="127">
      <c r="A127" s="2" t="n">
        <v>126</v>
      </c>
      <c r="B127" s="3" t="inlineStr">
        <is>
          <t>杨霞杰</t>
        </is>
      </c>
      <c r="C127" s="3" t="inlineStr">
        <is>
          <t>领航智造</t>
        </is>
      </c>
      <c r="D127" s="3" t="inlineStr">
        <is>
          <t>产品经理</t>
        </is>
      </c>
      <c r="E127" s="3" t="inlineStr">
        <is>
          <t>yangxiajie126@navi-mfg.com</t>
        </is>
      </c>
      <c r="F127" s="2" t="inlineStr">
        <is>
          <t>13652887804</t>
        </is>
      </c>
      <c r="G127" s="2" t="inlineStr">
        <is>
          <t>标准</t>
        </is>
      </c>
      <c r="H127" s="2" t="inlineStr">
        <is>
          <t>标准</t>
        </is>
      </c>
      <c r="I127" s="2" t="inlineStr">
        <is>
          <t>L</t>
        </is>
      </c>
      <c r="J127" s="4" t="n">
        <v>46127</v>
      </c>
      <c r="K127" s="2" t="inlineStr">
        <is>
          <t>已签到</t>
        </is>
      </c>
    </row>
    <row r="128">
      <c r="A128" s="2" t="n">
        <v>127</v>
      </c>
      <c r="B128" s="3" t="inlineStr">
        <is>
          <t>周磊</t>
        </is>
      </c>
      <c r="C128" s="3" t="inlineStr">
        <is>
          <t>星环动力</t>
        </is>
      </c>
      <c r="D128" s="3" t="inlineStr">
        <is>
          <t>产品经理</t>
        </is>
      </c>
      <c r="E128" s="3" t="inlineStr">
        <is>
          <t>zhoulei127@stellar-ring.com</t>
        </is>
      </c>
      <c r="F128" s="2" t="inlineStr">
        <is>
          <t>13637771529</t>
        </is>
      </c>
      <c r="G128" s="2" t="inlineStr">
        <is>
          <t>标准</t>
        </is>
      </c>
      <c r="H128" s="2" t="inlineStr">
        <is>
          <t>标准</t>
        </is>
      </c>
      <c r="I128" s="2" t="inlineStr">
        <is>
          <t>M</t>
        </is>
      </c>
      <c r="J128" s="4" t="n">
        <v>46129</v>
      </c>
      <c r="K128" s="2" t="inlineStr">
        <is>
          <t>已签到</t>
        </is>
      </c>
    </row>
    <row r="129">
      <c r="A129" s="2" t="n">
        <v>128</v>
      </c>
      <c r="B129" s="3" t="inlineStr">
        <is>
          <t>马睿超</t>
        </is>
      </c>
      <c r="C129" s="3" t="inlineStr">
        <is>
          <t>智汇云</t>
        </is>
      </c>
      <c r="D129" s="3" t="inlineStr">
        <is>
          <t>技术经理</t>
        </is>
      </c>
      <c r="E129" s="3" t="inlineStr">
        <is>
          <t>maruichao128@zhihui-cloud.com</t>
        </is>
      </c>
      <c r="F129" s="2" t="inlineStr">
        <is>
          <t>15919281086</t>
        </is>
      </c>
      <c r="G129" s="2" t="inlineStr">
        <is>
          <t>标准</t>
        </is>
      </c>
      <c r="H129" s="2" t="inlineStr">
        <is>
          <t>标准</t>
        </is>
      </c>
      <c r="I129" s="2" t="inlineStr">
        <is>
          <t>L</t>
        </is>
      </c>
      <c r="J129" s="4" t="n">
        <v>46088</v>
      </c>
      <c r="K129" s="2" t="inlineStr">
        <is>
          <t>未签到</t>
        </is>
      </c>
    </row>
    <row r="130">
      <c r="A130" s="2" t="n">
        <v>129</v>
      </c>
      <c r="B130" s="3" t="inlineStr">
        <is>
          <t>董丽嘉</t>
        </is>
      </c>
      <c r="C130" s="3" t="inlineStr">
        <is>
          <t>蜂巢科技</t>
        </is>
      </c>
      <c r="D130" s="3" t="inlineStr">
        <is>
          <t>测试工程师</t>
        </is>
      </c>
      <c r="E130" s="3" t="inlineStr">
        <is>
          <t>donglijia129@hive-tech.cn</t>
        </is>
      </c>
      <c r="F130" s="2" t="inlineStr">
        <is>
          <t>13531258594</t>
        </is>
      </c>
      <c r="G130" s="2" t="inlineStr">
        <is>
          <t>标准</t>
        </is>
      </c>
      <c r="H130" s="2" t="inlineStr">
        <is>
          <t>标准</t>
        </is>
      </c>
      <c r="I130" s="2" t="inlineStr">
        <is>
          <t>XL</t>
        </is>
      </c>
      <c r="J130" s="4" t="n">
        <v>46109</v>
      </c>
      <c r="K130" s="2" t="inlineStr">
        <is>
          <t>未签到</t>
        </is>
      </c>
    </row>
    <row r="131">
      <c r="A131" s="2" t="n">
        <v>130</v>
      </c>
      <c r="B131" s="3" t="inlineStr">
        <is>
          <t>冯娟怡</t>
        </is>
      </c>
      <c r="C131" s="3" t="inlineStr">
        <is>
          <t>微光信息</t>
        </is>
      </c>
      <c r="D131" s="3" t="inlineStr">
        <is>
          <t>解决方案架构师</t>
        </is>
      </c>
      <c r="E131" s="3" t="inlineStr">
        <is>
          <t>fengjuanyi130@glimmer-info.cn</t>
        </is>
      </c>
      <c r="F131" s="2" t="inlineStr">
        <is>
          <t>13873275578</t>
        </is>
      </c>
      <c r="G131" s="2" t="inlineStr">
        <is>
          <t>标准</t>
        </is>
      </c>
      <c r="H131" s="2" t="inlineStr">
        <is>
          <t>清真</t>
        </is>
      </c>
      <c r="I131" s="2" t="inlineStr">
        <is>
          <t>XL</t>
        </is>
      </c>
      <c r="J131" s="4" t="n">
        <v>46100</v>
      </c>
      <c r="K131" s="2" t="inlineStr">
        <is>
          <t>已签到</t>
        </is>
      </c>
    </row>
    <row r="132">
      <c r="A132" s="2" t="n">
        <v>131</v>
      </c>
      <c r="B132" s="3" t="inlineStr">
        <is>
          <t>黄彤</t>
        </is>
      </c>
      <c r="C132" s="3" t="inlineStr">
        <is>
          <t>蓝图网络</t>
        </is>
      </c>
      <c r="D132" s="3" t="inlineStr">
        <is>
          <t>数据工程师</t>
        </is>
      </c>
      <c r="E132" s="3" t="inlineStr">
        <is>
          <t>huangtong131@lantoo.net</t>
        </is>
      </c>
      <c r="F132" s="2" t="inlineStr">
        <is>
          <t>13826661697</t>
        </is>
      </c>
      <c r="G132" s="2" t="inlineStr">
        <is>
          <t>标准</t>
        </is>
      </c>
      <c r="H132" s="2" t="inlineStr">
        <is>
          <t>标准</t>
        </is>
      </c>
      <c r="I132" s="2" t="inlineStr">
        <is>
          <t>M</t>
        </is>
      </c>
      <c r="J132" s="4" t="n">
        <v>46089</v>
      </c>
      <c r="K132" s="2" t="inlineStr">
        <is>
          <t>已签到</t>
        </is>
      </c>
    </row>
    <row r="133">
      <c r="A133" s="2" t="n">
        <v>132</v>
      </c>
      <c r="B133" s="3" t="inlineStr">
        <is>
          <t>孙敏</t>
        </is>
      </c>
      <c r="C133" s="3" t="inlineStr">
        <is>
          <t>蜂巢科技</t>
        </is>
      </c>
      <c r="D133" s="3" t="inlineStr">
        <is>
          <t>技术经理</t>
        </is>
      </c>
      <c r="E133" s="3" t="inlineStr">
        <is>
          <t>sunmin132@hive-tech.cn</t>
        </is>
      </c>
      <c r="F133" s="2" t="inlineStr">
        <is>
          <t>13521108993</t>
        </is>
      </c>
      <c r="G133" s="2" t="inlineStr">
        <is>
          <t>标准</t>
        </is>
      </c>
      <c r="H133" s="2" t="inlineStr">
        <is>
          <t>标准</t>
        </is>
      </c>
      <c r="I133" s="2" t="inlineStr">
        <is>
          <t>L</t>
        </is>
      </c>
      <c r="J133" s="4" t="n">
        <v>46132</v>
      </c>
      <c r="K133" s="2" t="inlineStr">
        <is>
          <t>已签到</t>
        </is>
      </c>
    </row>
    <row r="134">
      <c r="A134" s="2" t="n">
        <v>133</v>
      </c>
      <c r="B134" s="3" t="inlineStr">
        <is>
          <t>唐浩</t>
        </is>
      </c>
      <c r="C134" s="3" t="inlineStr">
        <is>
          <t>云栖智能</t>
        </is>
      </c>
      <c r="D134" s="3" t="inlineStr">
        <is>
          <t>算法工程师</t>
        </is>
      </c>
      <c r="E134" s="3" t="inlineStr">
        <is>
          <t>tanghao133@yunqi-ai.com</t>
        </is>
      </c>
      <c r="F134" s="2" t="inlineStr">
        <is>
          <t>13823482640</t>
        </is>
      </c>
      <c r="G134" s="2" t="inlineStr">
        <is>
          <t>标准</t>
        </is>
      </c>
      <c r="H134" s="2" t="inlineStr">
        <is>
          <t>素食</t>
        </is>
      </c>
      <c r="I134" s="2" t="inlineStr">
        <is>
          <t>L</t>
        </is>
      </c>
      <c r="J134" s="4" t="n">
        <v>46154</v>
      </c>
      <c r="K134" s="2" t="inlineStr">
        <is>
          <t>未签到</t>
        </is>
      </c>
    </row>
    <row r="135">
      <c r="A135" s="2" t="n">
        <v>134</v>
      </c>
      <c r="B135" s="3" t="inlineStr">
        <is>
          <t>林子</t>
        </is>
      </c>
      <c r="C135" s="3" t="inlineStr">
        <is>
          <t>领航智造</t>
        </is>
      </c>
      <c r="D135" s="3" t="inlineStr">
        <is>
          <t>数据工程师</t>
        </is>
      </c>
      <c r="E135" s="3" t="inlineStr">
        <is>
          <t>linzi134@navi-mfg.com</t>
        </is>
      </c>
      <c r="F135" s="2" t="inlineStr">
        <is>
          <t>18897752660</t>
        </is>
      </c>
      <c r="G135" s="2" t="inlineStr">
        <is>
          <t>标准</t>
        </is>
      </c>
      <c r="H135" s="2" t="inlineStr">
        <is>
          <t>清真</t>
        </is>
      </c>
      <c r="I135" s="2" t="inlineStr">
        <is>
          <t>M</t>
        </is>
      </c>
      <c r="J135" s="4" t="n">
        <v>46144</v>
      </c>
      <c r="K135" s="2" t="inlineStr">
        <is>
          <t>已签到</t>
        </is>
      </c>
    </row>
    <row r="136">
      <c r="A136" s="2" t="n">
        <v>135</v>
      </c>
      <c r="B136" s="3" t="inlineStr">
        <is>
          <t>潘子</t>
        </is>
      </c>
      <c r="C136" s="3" t="inlineStr">
        <is>
          <t>光合数字</t>
        </is>
      </c>
      <c r="D136" s="3" t="inlineStr">
        <is>
          <t>算法工程师</t>
        </is>
      </c>
      <c r="E136" s="3" t="inlineStr">
        <is>
          <t>panzi135@photosyn-digital.com</t>
        </is>
      </c>
      <c r="F136" s="2" t="inlineStr">
        <is>
          <t>13573427272</t>
        </is>
      </c>
      <c r="G136" s="2" t="inlineStr">
        <is>
          <t>标准</t>
        </is>
      </c>
      <c r="H136" s="2" t="inlineStr">
        <is>
          <t>标准</t>
        </is>
      </c>
      <c r="I136" s="2" t="inlineStr">
        <is>
          <t>M</t>
        </is>
      </c>
      <c r="J136" s="4" t="n">
        <v>46129</v>
      </c>
      <c r="K136" s="2" t="inlineStr">
        <is>
          <t>已签到</t>
        </is>
      </c>
    </row>
    <row r="137">
      <c r="A137" s="2" t="n">
        <v>136</v>
      </c>
      <c r="B137" s="3" t="inlineStr">
        <is>
          <t>梁平琪</t>
        </is>
      </c>
      <c r="C137" s="3" t="inlineStr">
        <is>
          <t>星瀚科技</t>
        </is>
      </c>
      <c r="D137" s="3" t="inlineStr">
        <is>
          <t>解决方案架构师</t>
        </is>
      </c>
      <c r="E137" s="3" t="inlineStr">
        <is>
          <t>liangpingqi136@xinghan-tech.com</t>
        </is>
      </c>
      <c r="F137" s="2" t="inlineStr">
        <is>
          <t>13665897871</t>
        </is>
      </c>
      <c r="G137" s="2" t="inlineStr">
        <is>
          <t>标准</t>
        </is>
      </c>
      <c r="H137" s="2" t="inlineStr">
        <is>
          <t>标准</t>
        </is>
      </c>
      <c r="I137" s="2" t="inlineStr">
        <is>
          <t>S</t>
        </is>
      </c>
      <c r="J137" s="4" t="n">
        <v>46134</v>
      </c>
      <c r="K137" s="2" t="inlineStr">
        <is>
          <t>已签到</t>
        </is>
      </c>
    </row>
    <row r="138">
      <c r="A138" s="2" t="n">
        <v>137</v>
      </c>
      <c r="B138" s="3" t="inlineStr">
        <is>
          <t>林涵</t>
        </is>
      </c>
      <c r="C138" s="3" t="inlineStr">
        <is>
          <t>启元软件</t>
        </is>
      </c>
      <c r="D138" s="3" t="inlineStr">
        <is>
          <t>DevOps 工程师</t>
        </is>
      </c>
      <c r="E138" s="3" t="inlineStr">
        <is>
          <t>linhan137@qiyuan-soft.com</t>
        </is>
      </c>
      <c r="F138" s="2" t="inlineStr">
        <is>
          <t>13577856623</t>
        </is>
      </c>
      <c r="G138" s="2" t="inlineStr">
        <is>
          <t>标准</t>
        </is>
      </c>
      <c r="H138" s="2" t="inlineStr">
        <is>
          <t>标准</t>
        </is>
      </c>
      <c r="I138" s="2" t="inlineStr">
        <is>
          <t>M</t>
        </is>
      </c>
      <c r="J138" s="4" t="n">
        <v>46139</v>
      </c>
      <c r="K138" s="2" t="inlineStr">
        <is>
          <t>未签到</t>
        </is>
      </c>
    </row>
    <row r="139">
      <c r="A139" s="2" t="n">
        <v>138</v>
      </c>
      <c r="B139" s="3" t="inlineStr">
        <is>
          <t>赵杰</t>
        </is>
      </c>
      <c r="C139" s="3" t="inlineStr">
        <is>
          <t>云栖智能</t>
        </is>
      </c>
      <c r="D139" s="3" t="inlineStr">
        <is>
          <t>算法工程师</t>
        </is>
      </c>
      <c r="E139" s="3" t="inlineStr">
        <is>
          <t>zhaojie138@yunqi-ai.com</t>
        </is>
      </c>
      <c r="F139" s="2" t="inlineStr">
        <is>
          <t>13668069307</t>
        </is>
      </c>
      <c r="G139" s="2" t="inlineStr">
        <is>
          <t>标准</t>
        </is>
      </c>
      <c r="H139" s="2" t="inlineStr">
        <is>
          <t>标准</t>
        </is>
      </c>
      <c r="I139" s="2" t="inlineStr">
        <is>
          <t>XL</t>
        </is>
      </c>
      <c r="J139" s="4" t="n">
        <v>46108</v>
      </c>
      <c r="K139" s="2" t="inlineStr">
        <is>
          <t>已签到</t>
        </is>
      </c>
    </row>
    <row r="140">
      <c r="A140" s="2" t="n">
        <v>139</v>
      </c>
      <c r="B140" s="3" t="inlineStr">
        <is>
          <t>韩秀桐</t>
        </is>
      </c>
      <c r="C140" s="3" t="inlineStr">
        <is>
          <t>南岭智联</t>
        </is>
      </c>
      <c r="D140" s="3" t="inlineStr">
        <is>
          <t>DevOps 工程师</t>
        </is>
      </c>
      <c r="E140" s="3" t="inlineStr">
        <is>
          <t>hanxiutong139@nanling-iot.cn</t>
        </is>
      </c>
      <c r="F140" s="2" t="inlineStr">
        <is>
          <t>13958881027</t>
        </is>
      </c>
      <c r="G140" s="2" t="inlineStr">
        <is>
          <t>标准</t>
        </is>
      </c>
      <c r="H140" s="2" t="inlineStr">
        <is>
          <t>标准</t>
        </is>
      </c>
      <c r="I140" s="2" t="inlineStr">
        <is>
          <t>S</t>
        </is>
      </c>
      <c r="J140" s="4" t="n">
        <v>46149</v>
      </c>
      <c r="K140" s="2" t="inlineStr">
        <is>
          <t>未签到</t>
        </is>
      </c>
    </row>
    <row r="141">
      <c r="A141" s="2" t="n">
        <v>140</v>
      </c>
      <c r="B141" s="3" t="inlineStr">
        <is>
          <t>高洋</t>
        </is>
      </c>
      <c r="C141" s="3" t="inlineStr">
        <is>
          <t>光合数字</t>
        </is>
      </c>
      <c r="D141" s="3" t="inlineStr">
        <is>
          <t>全栈工程师</t>
        </is>
      </c>
      <c r="E141" s="3" t="inlineStr">
        <is>
          <t>gaoyang140@photosyn-digital.com</t>
        </is>
      </c>
      <c r="F141" s="2" t="inlineStr">
        <is>
          <t>18633508003</t>
        </is>
      </c>
      <c r="G141" s="2" t="inlineStr">
        <is>
          <t>标准</t>
        </is>
      </c>
      <c r="H141" s="2" t="inlineStr">
        <is>
          <t>清真</t>
        </is>
      </c>
      <c r="I141" s="2" t="inlineStr">
        <is>
          <t>L</t>
        </is>
      </c>
      <c r="J141" s="4" t="n">
        <v>46156</v>
      </c>
      <c r="K141" s="2" t="inlineStr">
        <is>
          <t>未签到</t>
        </is>
      </c>
    </row>
    <row r="142">
      <c r="A142" s="2" t="n">
        <v>141</v>
      </c>
      <c r="B142" s="3" t="inlineStr">
        <is>
          <t>黄霞子</t>
        </is>
      </c>
      <c r="C142" s="3" t="inlineStr">
        <is>
          <t>星瀚科技</t>
        </is>
      </c>
      <c r="D142" s="3" t="inlineStr">
        <is>
          <t>数据工程师</t>
        </is>
      </c>
      <c r="E142" s="3" t="inlineStr">
        <is>
          <t>huangxiazi141@xinghan-tech.com</t>
        </is>
      </c>
      <c r="F142" s="2" t="inlineStr">
        <is>
          <t>18638355304</t>
        </is>
      </c>
      <c r="G142" s="2" t="inlineStr">
        <is>
          <t>标准</t>
        </is>
      </c>
      <c r="H142" s="2" t="inlineStr">
        <is>
          <t>标准</t>
        </is>
      </c>
      <c r="I142" s="2" t="inlineStr">
        <is>
          <t>L</t>
        </is>
      </c>
      <c r="J142" s="4" t="n">
        <v>46134</v>
      </c>
      <c r="K142" s="2" t="inlineStr">
        <is>
          <t>已签到</t>
        </is>
      </c>
    </row>
    <row r="143">
      <c r="A143" s="2" t="n">
        <v>142</v>
      </c>
      <c r="B143" s="3" t="inlineStr">
        <is>
          <t>郑娟丽</t>
        </is>
      </c>
      <c r="C143" s="3" t="inlineStr">
        <is>
          <t>云栖智能</t>
        </is>
      </c>
      <c r="D143" s="3" t="inlineStr">
        <is>
          <t>解决方案架构师</t>
        </is>
      </c>
      <c r="E143" s="3" t="inlineStr">
        <is>
          <t>zhengjuanli142@yunqi-ai.com</t>
        </is>
      </c>
      <c r="F143" s="2" t="inlineStr">
        <is>
          <t>15939474682</t>
        </is>
      </c>
      <c r="G143" s="2" t="inlineStr">
        <is>
          <t>标准</t>
        </is>
      </c>
      <c r="H143" s="2" t="inlineStr">
        <is>
          <t>标准</t>
        </is>
      </c>
      <c r="I143" s="2" t="inlineStr">
        <is>
          <t>L</t>
        </is>
      </c>
      <c r="J143" s="4" t="n">
        <v>46150</v>
      </c>
      <c r="K143" s="2" t="inlineStr">
        <is>
          <t>已签到</t>
        </is>
      </c>
    </row>
    <row r="144">
      <c r="A144" s="2" t="n">
        <v>143</v>
      </c>
      <c r="B144" s="3" t="inlineStr">
        <is>
          <t>冯秀强</t>
        </is>
      </c>
      <c r="C144" s="3" t="inlineStr">
        <is>
          <t>蜂巢科技</t>
        </is>
      </c>
      <c r="D144" s="3" t="inlineStr">
        <is>
          <t>前端开发</t>
        </is>
      </c>
      <c r="E144" s="3" t="inlineStr">
        <is>
          <t>fengxiuqiang143@hive-tech.cn</t>
        </is>
      </c>
      <c r="F144" s="2" t="inlineStr">
        <is>
          <t>15998116830</t>
        </is>
      </c>
      <c r="G144" s="2" t="inlineStr">
        <is>
          <t>标准</t>
        </is>
      </c>
      <c r="H144" s="2" t="inlineStr">
        <is>
          <t>素食</t>
        </is>
      </c>
      <c r="I144" s="2" t="inlineStr">
        <is>
          <t>S</t>
        </is>
      </c>
      <c r="J144" s="4" t="n">
        <v>46126</v>
      </c>
      <c r="K144" s="2" t="inlineStr">
        <is>
          <t>未签到</t>
        </is>
      </c>
    </row>
    <row r="145">
      <c r="A145" s="2" t="n">
        <v>144</v>
      </c>
      <c r="B145" s="3" t="inlineStr">
        <is>
          <t>李雨</t>
        </is>
      </c>
      <c r="C145" s="3" t="inlineStr">
        <is>
          <t>领航智造</t>
        </is>
      </c>
      <c r="D145" s="3" t="inlineStr">
        <is>
          <t>技术经理</t>
        </is>
      </c>
      <c r="E145" s="3" t="inlineStr">
        <is>
          <t>liyu144@navi-mfg.com</t>
        </is>
      </c>
      <c r="F145" s="2" t="inlineStr">
        <is>
          <t>13584700702</t>
        </is>
      </c>
      <c r="G145" s="2" t="inlineStr">
        <is>
          <t>标准</t>
        </is>
      </c>
      <c r="H145" s="2" t="inlineStr">
        <is>
          <t>素食</t>
        </is>
      </c>
      <c r="I145" s="2" t="inlineStr">
        <is>
          <t>M</t>
        </is>
      </c>
      <c r="J145" s="4" t="n">
        <v>46105</v>
      </c>
      <c r="K145" s="2" t="inlineStr">
        <is>
          <t>未签到</t>
        </is>
      </c>
    </row>
    <row r="146">
      <c r="A146" s="2" t="n">
        <v>145</v>
      </c>
      <c r="B146" s="3" t="inlineStr">
        <is>
          <t>唐怡</t>
        </is>
      </c>
      <c r="C146" s="3" t="inlineStr">
        <is>
          <t>领航智造</t>
        </is>
      </c>
      <c r="D146" s="3" t="inlineStr">
        <is>
          <t>全栈工程师</t>
        </is>
      </c>
      <c r="E146" s="3" t="inlineStr">
        <is>
          <t>tangyi145@navi-mfg.com</t>
        </is>
      </c>
      <c r="F146" s="2" t="inlineStr">
        <is>
          <t>18829962634</t>
        </is>
      </c>
      <c r="G146" s="2" t="inlineStr">
        <is>
          <t>标准</t>
        </is>
      </c>
      <c r="H146" s="2" t="inlineStr">
        <is>
          <t>标准</t>
        </is>
      </c>
      <c r="I146" s="2" t="inlineStr">
        <is>
          <t>M</t>
        </is>
      </c>
      <c r="J146" s="4" t="n">
        <v>46137</v>
      </c>
      <c r="K146" s="2" t="inlineStr">
        <is>
          <t>已签到</t>
        </is>
      </c>
    </row>
    <row r="147">
      <c r="A147" s="2" t="n">
        <v>146</v>
      </c>
      <c r="B147" s="3" t="inlineStr">
        <is>
          <t>吴艳强</t>
        </is>
      </c>
      <c r="C147" s="3" t="inlineStr">
        <is>
          <t>云栖智能</t>
        </is>
      </c>
      <c r="D147" s="3" t="inlineStr">
        <is>
          <t>技术经理</t>
        </is>
      </c>
      <c r="E147" s="3" t="inlineStr">
        <is>
          <t>wuyanqiang146@yunqi-ai.com</t>
        </is>
      </c>
      <c r="F147" s="2" t="inlineStr">
        <is>
          <t>13871110861</t>
        </is>
      </c>
      <c r="G147" s="2" t="inlineStr">
        <is>
          <t>标准</t>
        </is>
      </c>
      <c r="H147" s="2" t="inlineStr">
        <is>
          <t>素食</t>
        </is>
      </c>
      <c r="I147" s="2" t="inlineStr">
        <is>
          <t>L</t>
        </is>
      </c>
      <c r="J147" s="4" t="n">
        <v>46132</v>
      </c>
      <c r="K147" s="2" t="inlineStr">
        <is>
          <t>已签到</t>
        </is>
      </c>
    </row>
    <row r="148">
      <c r="A148" s="2" t="n">
        <v>147</v>
      </c>
      <c r="B148" s="3" t="inlineStr">
        <is>
          <t>徐静彤</t>
        </is>
      </c>
      <c r="C148" s="3" t="inlineStr">
        <is>
          <t>蜂巢科技</t>
        </is>
      </c>
      <c r="D148" s="3" t="inlineStr">
        <is>
          <t>全栈工程师</t>
        </is>
      </c>
      <c r="E148" s="3" t="inlineStr">
        <is>
          <t>xujingtong147@hive-tech.cn</t>
        </is>
      </c>
      <c r="F148" s="2" t="inlineStr">
        <is>
          <t>13951456765</t>
        </is>
      </c>
      <c r="G148" s="2" t="inlineStr">
        <is>
          <t>标准</t>
        </is>
      </c>
      <c r="H148" s="2" t="inlineStr">
        <is>
          <t>标准</t>
        </is>
      </c>
      <c r="I148" s="2" t="inlineStr">
        <is>
          <t>L</t>
        </is>
      </c>
      <c r="J148" s="4" t="n">
        <v>46147</v>
      </c>
      <c r="K148" s="2" t="inlineStr">
        <is>
          <t>已签到</t>
        </is>
      </c>
    </row>
    <row r="149">
      <c r="A149" s="2" t="n">
        <v>148</v>
      </c>
      <c r="B149" s="3" t="inlineStr">
        <is>
          <t>刘睿</t>
        </is>
      </c>
      <c r="C149" s="3" t="inlineStr">
        <is>
          <t>领航智造</t>
        </is>
      </c>
      <c r="D149" s="3" t="inlineStr">
        <is>
          <t>解决方案架构师</t>
        </is>
      </c>
      <c r="E149" s="3" t="inlineStr">
        <is>
          <t>liurui148@navi-mfg.com</t>
        </is>
      </c>
      <c r="F149" s="2" t="inlineStr">
        <is>
          <t>13977885563</t>
        </is>
      </c>
      <c r="G149" s="2" t="inlineStr">
        <is>
          <t>标准</t>
        </is>
      </c>
      <c r="H149" s="2" t="inlineStr">
        <is>
          <t>标准</t>
        </is>
      </c>
      <c r="I149" s="2" t="inlineStr">
        <is>
          <t>M</t>
        </is>
      </c>
      <c r="J149" s="4" t="n">
        <v>46146</v>
      </c>
      <c r="K149" s="2" t="inlineStr">
        <is>
          <t>已签到</t>
        </is>
      </c>
    </row>
    <row r="150">
      <c r="A150" s="2" t="n">
        <v>149</v>
      </c>
      <c r="B150" s="3" t="inlineStr">
        <is>
          <t>李怡</t>
        </is>
      </c>
      <c r="C150" s="3" t="inlineStr">
        <is>
          <t>蜂巢科技</t>
        </is>
      </c>
      <c r="D150" s="3" t="inlineStr">
        <is>
          <t>算法工程师</t>
        </is>
      </c>
      <c r="E150" s="3" t="inlineStr">
        <is>
          <t>liyi149@hive-tech.cn</t>
        </is>
      </c>
      <c r="F150" s="2" t="inlineStr">
        <is>
          <t>13665256731</t>
        </is>
      </c>
      <c r="G150" s="2" t="inlineStr">
        <is>
          <t>标准</t>
        </is>
      </c>
      <c r="H150" s="2" t="inlineStr">
        <is>
          <t>标准</t>
        </is>
      </c>
      <c r="I150" s="2" t="inlineStr">
        <is>
          <t>L</t>
        </is>
      </c>
      <c r="J150" s="4" t="n">
        <v>46156</v>
      </c>
      <c r="K150" s="2" t="inlineStr">
        <is>
          <t>已签到</t>
        </is>
      </c>
    </row>
    <row r="151">
      <c r="A151" s="2" t="n">
        <v>150</v>
      </c>
      <c r="B151" s="3" t="inlineStr">
        <is>
          <t>郑勇琪</t>
        </is>
      </c>
      <c r="C151" s="3" t="inlineStr">
        <is>
          <t>星环动力</t>
        </is>
      </c>
      <c r="D151" s="3" t="inlineStr">
        <is>
          <t>技术经理</t>
        </is>
      </c>
      <c r="E151" s="3" t="inlineStr">
        <is>
          <t>zhengyongqi150@stellar-ring.com</t>
        </is>
      </c>
      <c r="F151" s="2" t="inlineStr">
        <is>
          <t>13871067144</t>
        </is>
      </c>
      <c r="G151" s="2" t="inlineStr">
        <is>
          <t>标准</t>
        </is>
      </c>
      <c r="H151" s="2" t="inlineStr">
        <is>
          <t>标准</t>
        </is>
      </c>
      <c r="I151" s="2" t="inlineStr">
        <is>
          <t>XL</t>
        </is>
      </c>
      <c r="J151" s="4" t="n">
        <v>46155</v>
      </c>
      <c r="K151" s="2" t="inlineStr">
        <is>
          <t>未签到</t>
        </is>
      </c>
    </row>
    <row r="152">
      <c r="A152" s="2" t="n">
        <v>151</v>
      </c>
      <c r="B152" s="3" t="inlineStr">
        <is>
          <t>潘敏</t>
        </is>
      </c>
      <c r="C152" s="3" t="inlineStr">
        <is>
          <t>南粤科技大学</t>
        </is>
      </c>
      <c r="D152" s="3" t="inlineStr">
        <is>
          <t>在校学生</t>
        </is>
      </c>
      <c r="E152" s="3" t="inlineStr">
        <is>
          <t>panmin151@nyust.edu.cn</t>
        </is>
      </c>
      <c r="F152" s="2" t="inlineStr">
        <is>
          <t>15896932495</t>
        </is>
      </c>
      <c r="G152" s="2" t="inlineStr">
        <is>
          <t>学生</t>
        </is>
      </c>
      <c r="H152" s="2" t="inlineStr">
        <is>
          <t>标准</t>
        </is>
      </c>
      <c r="I152" s="2" t="inlineStr">
        <is>
          <t>L</t>
        </is>
      </c>
      <c r="J152" s="4" t="n">
        <v>46118</v>
      </c>
      <c r="K152" s="2" t="inlineStr">
        <is>
          <t>已签到</t>
        </is>
      </c>
    </row>
    <row r="153">
      <c r="A153" s="2" t="n">
        <v>152</v>
      </c>
      <c r="B153" s="3" t="inlineStr">
        <is>
          <t>杨强</t>
        </is>
      </c>
      <c r="C153" s="3" t="inlineStr">
        <is>
          <t>南粤科技大学</t>
        </is>
      </c>
      <c r="D153" s="3" t="inlineStr">
        <is>
          <t>在校学生</t>
        </is>
      </c>
      <c r="E153" s="3" t="inlineStr">
        <is>
          <t>yangqiang152@nyust.edu.cn</t>
        </is>
      </c>
      <c r="F153" s="2" t="inlineStr">
        <is>
          <t>13923494671</t>
        </is>
      </c>
      <c r="G153" s="2" t="inlineStr">
        <is>
          <t>学生</t>
        </is>
      </c>
      <c r="H153" s="2" t="inlineStr">
        <is>
          <t>标准</t>
        </is>
      </c>
      <c r="I153" s="2" t="inlineStr">
        <is>
          <t>XL</t>
        </is>
      </c>
      <c r="J153" s="4" t="n">
        <v>46111</v>
      </c>
      <c r="K153" s="2" t="inlineStr">
        <is>
          <t>已签到</t>
        </is>
      </c>
    </row>
    <row r="154">
      <c r="A154" s="2" t="n">
        <v>153</v>
      </c>
      <c r="B154" s="3" t="inlineStr">
        <is>
          <t>高博勇</t>
        </is>
      </c>
      <c r="C154" s="3" t="inlineStr">
        <is>
          <t>湾区信息学院</t>
        </is>
      </c>
      <c r="D154" s="3" t="inlineStr">
        <is>
          <t>在校学生</t>
        </is>
      </c>
      <c r="E154" s="3" t="inlineStr">
        <is>
          <t>gaoboyong153@bai.edu.cn</t>
        </is>
      </c>
      <c r="F154" s="2" t="inlineStr">
        <is>
          <t>13855139717</t>
        </is>
      </c>
      <c r="G154" s="2" t="inlineStr">
        <is>
          <t>学生</t>
        </is>
      </c>
      <c r="H154" s="2" t="inlineStr">
        <is>
          <t>标准</t>
        </is>
      </c>
      <c r="I154" s="2" t="inlineStr">
        <is>
          <t>L</t>
        </is>
      </c>
      <c r="J154" s="4" t="n">
        <v>46100</v>
      </c>
      <c r="K154" s="2" t="inlineStr">
        <is>
          <t>未签到</t>
        </is>
      </c>
    </row>
    <row r="155">
      <c r="A155" s="2" t="n">
        <v>154</v>
      </c>
      <c r="B155" s="3" t="inlineStr">
        <is>
          <t>黄雨磊</t>
        </is>
      </c>
      <c r="C155" s="3" t="inlineStr">
        <is>
          <t>鹏城理工学院</t>
        </is>
      </c>
      <c r="D155" s="3" t="inlineStr">
        <is>
          <t>在校学生</t>
        </is>
      </c>
      <c r="E155" s="3" t="inlineStr">
        <is>
          <t>huangyulei154@pcit.edu.cn</t>
        </is>
      </c>
      <c r="F155" s="2" t="inlineStr">
        <is>
          <t>13582355031</t>
        </is>
      </c>
      <c r="G155" s="2" t="inlineStr">
        <is>
          <t>学生</t>
        </is>
      </c>
      <c r="H155" s="2" t="inlineStr">
        <is>
          <t>标准</t>
        </is>
      </c>
      <c r="I155" s="2" t="inlineStr">
        <is>
          <t>XL</t>
        </is>
      </c>
      <c r="J155" s="4" t="n">
        <v>46137</v>
      </c>
      <c r="K155" s="2" t="inlineStr">
        <is>
          <t>已签到</t>
        </is>
      </c>
    </row>
    <row r="156">
      <c r="A156" s="2" t="n">
        <v>155</v>
      </c>
      <c r="B156" s="3" t="inlineStr">
        <is>
          <t>韩磊</t>
        </is>
      </c>
      <c r="C156" s="3" t="inlineStr">
        <is>
          <t>南粤科技大学</t>
        </is>
      </c>
      <c r="D156" s="3" t="inlineStr">
        <is>
          <t>在校学生</t>
        </is>
      </c>
      <c r="E156" s="3" t="inlineStr">
        <is>
          <t>hanlei155@nyust.edu.cn</t>
        </is>
      </c>
      <c r="F156" s="2" t="inlineStr">
        <is>
          <t>13839270893</t>
        </is>
      </c>
      <c r="G156" s="2" t="inlineStr">
        <is>
          <t>学生</t>
        </is>
      </c>
      <c r="H156" s="2" t="inlineStr">
        <is>
          <t>标准</t>
        </is>
      </c>
      <c r="I156" s="2" t="inlineStr">
        <is>
          <t>L</t>
        </is>
      </c>
      <c r="J156" s="4" t="n">
        <v>46111</v>
      </c>
      <c r="K156" s="2" t="inlineStr">
        <is>
          <t>已签到</t>
        </is>
      </c>
    </row>
    <row r="157">
      <c r="A157" s="2" t="n">
        <v>156</v>
      </c>
      <c r="B157" s="3" t="inlineStr">
        <is>
          <t>潘子然</t>
        </is>
      </c>
      <c r="C157" s="3" t="inlineStr">
        <is>
          <t>鹏城理工学院</t>
        </is>
      </c>
      <c r="D157" s="3" t="inlineStr">
        <is>
          <t>在校学生</t>
        </is>
      </c>
      <c r="E157" s="3" t="inlineStr">
        <is>
          <t>panziran156@pcit.edu.cn</t>
        </is>
      </c>
      <c r="F157" s="2" t="inlineStr">
        <is>
          <t>15979911302</t>
        </is>
      </c>
      <c r="G157" s="2" t="inlineStr">
        <is>
          <t>学生</t>
        </is>
      </c>
      <c r="H157" s="2" t="inlineStr">
        <is>
          <t>标准</t>
        </is>
      </c>
      <c r="I157" s="2" t="inlineStr">
        <is>
          <t>L</t>
        </is>
      </c>
      <c r="J157" s="4" t="n">
        <v>46134</v>
      </c>
      <c r="K157" s="2" t="inlineStr">
        <is>
          <t>已签到</t>
        </is>
      </c>
    </row>
    <row r="158">
      <c r="A158" s="2" t="n">
        <v>157</v>
      </c>
      <c r="B158" s="3" t="inlineStr">
        <is>
          <t>吴伟霞</t>
        </is>
      </c>
      <c r="C158" s="3" t="inlineStr">
        <is>
          <t>鹏城理工学院</t>
        </is>
      </c>
      <c r="D158" s="3" t="inlineStr">
        <is>
          <t>在校学生</t>
        </is>
      </c>
      <c r="E158" s="3" t="inlineStr">
        <is>
          <t>wuweixia157@pcit.edu.cn</t>
        </is>
      </c>
      <c r="F158" s="2" t="inlineStr">
        <is>
          <t>13503072358</t>
        </is>
      </c>
      <c r="G158" s="2" t="inlineStr">
        <is>
          <t>学生</t>
        </is>
      </c>
      <c r="H158" s="2" t="inlineStr">
        <is>
          <t>素食</t>
        </is>
      </c>
      <c r="I158" s="2" t="inlineStr">
        <is>
          <t>S</t>
        </is>
      </c>
      <c r="J158" s="4" t="n">
        <v>46108</v>
      </c>
      <c r="K158" s="2" t="inlineStr">
        <is>
          <t>已签到</t>
        </is>
      </c>
    </row>
    <row r="159">
      <c r="A159" s="2" t="n">
        <v>158</v>
      </c>
      <c r="B159" s="3" t="inlineStr">
        <is>
          <t>谢洋琪</t>
        </is>
      </c>
      <c r="C159" s="3" t="inlineStr">
        <is>
          <t>鹏城理工学院</t>
        </is>
      </c>
      <c r="D159" s="3" t="inlineStr">
        <is>
          <t>在校学生</t>
        </is>
      </c>
      <c r="E159" s="3" t="inlineStr">
        <is>
          <t>xieyangqi158@pcit.edu.cn</t>
        </is>
      </c>
      <c r="F159" s="2" t="inlineStr">
        <is>
          <t>15955465488</t>
        </is>
      </c>
      <c r="G159" s="2" t="inlineStr">
        <is>
          <t>学生</t>
        </is>
      </c>
      <c r="H159" s="2" t="inlineStr">
        <is>
          <t>无麸质</t>
        </is>
      </c>
      <c r="I159" s="2" t="inlineStr">
        <is>
          <t>M</t>
        </is>
      </c>
      <c r="J159" s="4" t="n">
        <v>46118</v>
      </c>
      <c r="K159" s="2" t="inlineStr">
        <is>
          <t>已签到</t>
        </is>
      </c>
    </row>
    <row r="160">
      <c r="A160" s="2" t="n">
        <v>159</v>
      </c>
      <c r="B160" s="3" t="inlineStr">
        <is>
          <t>孙勇宇</t>
        </is>
      </c>
      <c r="C160" s="3" t="inlineStr">
        <is>
          <t>南粤科技大学</t>
        </is>
      </c>
      <c r="D160" s="3" t="inlineStr">
        <is>
          <t>在校学生</t>
        </is>
      </c>
      <c r="E160" s="3" t="inlineStr">
        <is>
          <t>sunyongyu159@nyust.edu.cn</t>
        </is>
      </c>
      <c r="F160" s="2" t="inlineStr">
        <is>
          <t>13801369244</t>
        </is>
      </c>
      <c r="G160" s="2" t="inlineStr">
        <is>
          <t>学生</t>
        </is>
      </c>
      <c r="H160" s="2" t="inlineStr">
        <is>
          <t>标准</t>
        </is>
      </c>
      <c r="I160" s="2" t="inlineStr">
        <is>
          <t>M</t>
        </is>
      </c>
      <c r="J160" s="4" t="n">
        <v>46136</v>
      </c>
      <c r="K160" s="2" t="inlineStr">
        <is>
          <t>已签到</t>
        </is>
      </c>
    </row>
    <row r="161">
      <c r="A161" s="2" t="n">
        <v>160</v>
      </c>
      <c r="B161" s="3" t="inlineStr">
        <is>
          <t>李平琪</t>
        </is>
      </c>
      <c r="C161" s="3" t="inlineStr">
        <is>
          <t>湾区信息学院</t>
        </is>
      </c>
      <c r="D161" s="3" t="inlineStr">
        <is>
          <t>在校学生</t>
        </is>
      </c>
      <c r="E161" s="3" t="inlineStr">
        <is>
          <t>lipingqi160@bai.edu.cn</t>
        </is>
      </c>
      <c r="F161" s="2" t="inlineStr">
        <is>
          <t>13602446091</t>
        </is>
      </c>
      <c r="G161" s="2" t="inlineStr">
        <is>
          <t>学生</t>
        </is>
      </c>
      <c r="H161" s="2" t="inlineStr">
        <is>
          <t>标准</t>
        </is>
      </c>
      <c r="I161" s="2" t="inlineStr">
        <is>
          <t>L</t>
        </is>
      </c>
      <c r="J161" s="4" t="n">
        <v>46149</v>
      </c>
      <c r="K161" s="2" t="inlineStr">
        <is>
          <t>已签到</t>
        </is>
      </c>
    </row>
    <row r="162">
      <c r="A162" s="2" t="n">
        <v>161</v>
      </c>
      <c r="B162" s="3" t="inlineStr">
        <is>
          <t>陈涛平</t>
        </is>
      </c>
      <c r="C162" s="3" t="inlineStr">
        <is>
          <t>湾区信息学院</t>
        </is>
      </c>
      <c r="D162" s="3" t="inlineStr">
        <is>
          <t>在校学生</t>
        </is>
      </c>
      <c r="E162" s="3" t="inlineStr">
        <is>
          <t>chentaoping161@bai.edu.cn</t>
        </is>
      </c>
      <c r="F162" s="2" t="inlineStr">
        <is>
          <t>15935404218</t>
        </is>
      </c>
      <c r="G162" s="2" t="inlineStr">
        <is>
          <t>学生</t>
        </is>
      </c>
      <c r="H162" s="2" t="inlineStr">
        <is>
          <t>清真</t>
        </is>
      </c>
      <c r="I162" s="2" t="inlineStr">
        <is>
          <t>L</t>
        </is>
      </c>
      <c r="J162" s="4" t="n">
        <v>46125</v>
      </c>
      <c r="K162" s="2" t="inlineStr">
        <is>
          <t>已签到</t>
        </is>
      </c>
    </row>
    <row r="163">
      <c r="A163" s="2" t="n">
        <v>162</v>
      </c>
      <c r="B163" s="3" t="inlineStr">
        <is>
          <t>马静</t>
        </is>
      </c>
      <c r="C163" s="3" t="inlineStr">
        <is>
          <t>鹏城理工学院</t>
        </is>
      </c>
      <c r="D163" s="3" t="inlineStr">
        <is>
          <t>在校学生</t>
        </is>
      </c>
      <c r="E163" s="3" t="inlineStr">
        <is>
          <t>majing162@pcit.edu.cn</t>
        </is>
      </c>
      <c r="F163" s="2" t="inlineStr">
        <is>
          <t>18824969919</t>
        </is>
      </c>
      <c r="G163" s="2" t="inlineStr">
        <is>
          <t>学生</t>
        </is>
      </c>
      <c r="H163" s="2" t="inlineStr">
        <is>
          <t>清真</t>
        </is>
      </c>
      <c r="I163" s="2" t="inlineStr">
        <is>
          <t>XL</t>
        </is>
      </c>
      <c r="J163" s="4" t="n">
        <v>46125</v>
      </c>
      <c r="K163" s="2" t="inlineStr">
        <is>
          <t>未签到</t>
        </is>
      </c>
    </row>
    <row r="164">
      <c r="A164" s="2" t="n">
        <v>163</v>
      </c>
      <c r="B164" s="3" t="inlineStr">
        <is>
          <t>陈子丽</t>
        </is>
      </c>
      <c r="C164" s="3" t="inlineStr">
        <is>
          <t>湾区信息学院</t>
        </is>
      </c>
      <c r="D164" s="3" t="inlineStr">
        <is>
          <t>在校学生</t>
        </is>
      </c>
      <c r="E164" s="3" t="inlineStr">
        <is>
          <t>chenzili163@bai.edu.cn</t>
        </is>
      </c>
      <c r="F164" s="2" t="inlineStr">
        <is>
          <t>13567027934</t>
        </is>
      </c>
      <c r="G164" s="2" t="inlineStr">
        <is>
          <t>学生</t>
        </is>
      </c>
      <c r="H164" s="2" t="inlineStr">
        <is>
          <t>素食</t>
        </is>
      </c>
      <c r="I164" s="2" t="inlineStr">
        <is>
          <t>M</t>
        </is>
      </c>
      <c r="J164" s="4" t="n">
        <v>46140</v>
      </c>
      <c r="K164" s="2" t="inlineStr">
        <is>
          <t>已签到</t>
        </is>
      </c>
    </row>
    <row r="165">
      <c r="A165" s="2" t="n">
        <v>164</v>
      </c>
      <c r="B165" s="3" t="inlineStr">
        <is>
          <t>徐嘉</t>
        </is>
      </c>
      <c r="C165" s="3" t="inlineStr">
        <is>
          <t>鹏城理工学院</t>
        </is>
      </c>
      <c r="D165" s="3" t="inlineStr">
        <is>
          <t>在校学生</t>
        </is>
      </c>
      <c r="E165" s="3" t="inlineStr">
        <is>
          <t>xujia164@pcit.edu.cn</t>
        </is>
      </c>
      <c r="F165" s="2" t="inlineStr">
        <is>
          <t>13858150410</t>
        </is>
      </c>
      <c r="G165" s="2" t="inlineStr">
        <is>
          <t>学生</t>
        </is>
      </c>
      <c r="H165" s="2" t="inlineStr">
        <is>
          <t>标准</t>
        </is>
      </c>
      <c r="I165" s="2" t="inlineStr">
        <is>
          <t>L</t>
        </is>
      </c>
      <c r="J165" s="4" t="n">
        <v>46102</v>
      </c>
      <c r="K165" s="2" t="inlineStr">
        <is>
          <t>已签到</t>
        </is>
      </c>
    </row>
    <row r="166">
      <c r="A166" s="2" t="n">
        <v>165</v>
      </c>
      <c r="B166" s="3" t="inlineStr">
        <is>
          <t>王勇博</t>
        </is>
      </c>
      <c r="C166" s="3" t="inlineStr">
        <is>
          <t>南粤科技大学</t>
        </is>
      </c>
      <c r="D166" s="3" t="inlineStr">
        <is>
          <t>在校学生</t>
        </is>
      </c>
      <c r="E166" s="3" t="inlineStr">
        <is>
          <t>wangyongbo165@nyust.edu.cn</t>
        </is>
      </c>
      <c r="F166" s="2" t="inlineStr">
        <is>
          <t>15900988700</t>
        </is>
      </c>
      <c r="G166" s="2" t="inlineStr">
        <is>
          <t>学生</t>
        </is>
      </c>
      <c r="H166" s="2" t="inlineStr">
        <is>
          <t>标准</t>
        </is>
      </c>
      <c r="I166" s="2" t="inlineStr">
        <is>
          <t>M</t>
        </is>
      </c>
      <c r="J166" s="4" t="n">
        <v>46134</v>
      </c>
      <c r="K166" s="2" t="inlineStr">
        <is>
          <t>已签到</t>
        </is>
      </c>
    </row>
    <row r="167">
      <c r="A167" s="2" t="n">
        <v>166</v>
      </c>
      <c r="B167" s="3" t="inlineStr">
        <is>
          <t>董泽雨</t>
        </is>
      </c>
      <c r="C167" s="3" t="inlineStr">
        <is>
          <t>鹏城理工学院</t>
        </is>
      </c>
      <c r="D167" s="3" t="inlineStr">
        <is>
          <t>在校学生</t>
        </is>
      </c>
      <c r="E167" s="3" t="inlineStr">
        <is>
          <t>dongzeyu166@pcit.edu.cn</t>
        </is>
      </c>
      <c r="F167" s="2" t="inlineStr">
        <is>
          <t>13543304351</t>
        </is>
      </c>
      <c r="G167" s="2" t="inlineStr">
        <is>
          <t>学生</t>
        </is>
      </c>
      <c r="H167" s="2" t="inlineStr">
        <is>
          <t>标准</t>
        </is>
      </c>
      <c r="I167" s="2" t="inlineStr">
        <is>
          <t>L</t>
        </is>
      </c>
      <c r="J167" s="4" t="n">
        <v>46134</v>
      </c>
      <c r="K167" s="2" t="inlineStr">
        <is>
          <t>未签到</t>
        </is>
      </c>
    </row>
    <row r="168">
      <c r="A168" s="2" t="n">
        <v>167</v>
      </c>
      <c r="B168" s="3" t="inlineStr">
        <is>
          <t>潘强丽</t>
        </is>
      </c>
      <c r="C168" s="3" t="inlineStr">
        <is>
          <t>南粤科技大学</t>
        </is>
      </c>
      <c r="D168" s="3" t="inlineStr">
        <is>
          <t>在校学生</t>
        </is>
      </c>
      <c r="E168" s="3" t="inlineStr">
        <is>
          <t>panqiangli167@nyust.edu.cn</t>
        </is>
      </c>
      <c r="F168" s="2" t="inlineStr">
        <is>
          <t>13652048278</t>
        </is>
      </c>
      <c r="G168" s="2" t="inlineStr">
        <is>
          <t>学生</t>
        </is>
      </c>
      <c r="H168" s="2" t="inlineStr">
        <is>
          <t>标准</t>
        </is>
      </c>
      <c r="I168" s="2" t="inlineStr">
        <is>
          <t>S</t>
        </is>
      </c>
      <c r="J168" s="4" t="n">
        <v>46111</v>
      </c>
      <c r="K168" s="2" t="inlineStr">
        <is>
          <t>已签到</t>
        </is>
      </c>
    </row>
    <row r="169">
      <c r="A169" s="2" t="n">
        <v>168</v>
      </c>
      <c r="B169" s="3" t="inlineStr">
        <is>
          <t>黄静</t>
        </is>
      </c>
      <c r="C169" s="3" t="inlineStr">
        <is>
          <t>湾区信息学院</t>
        </is>
      </c>
      <c r="D169" s="3" t="inlineStr">
        <is>
          <t>在校学生</t>
        </is>
      </c>
      <c r="E169" s="3" t="inlineStr">
        <is>
          <t>huangjing168@bai.edu.cn</t>
        </is>
      </c>
      <c r="F169" s="2" t="inlineStr">
        <is>
          <t>15912272143</t>
        </is>
      </c>
      <c r="G169" s="2" t="inlineStr">
        <is>
          <t>学生</t>
        </is>
      </c>
      <c r="H169" s="2" t="inlineStr">
        <is>
          <t>标准</t>
        </is>
      </c>
      <c r="I169" s="2" t="inlineStr">
        <is>
          <t>S</t>
        </is>
      </c>
      <c r="J169" s="4" t="n">
        <v>46152</v>
      </c>
      <c r="K169" s="2" t="inlineStr">
        <is>
          <t>已签到</t>
        </is>
      </c>
    </row>
    <row r="170">
      <c r="A170" s="2" t="n">
        <v>169</v>
      </c>
      <c r="B170" s="3" t="inlineStr">
        <is>
          <t>赵杰平</t>
        </is>
      </c>
      <c r="C170" s="3" t="inlineStr">
        <is>
          <t>湾区信息学院</t>
        </is>
      </c>
      <c r="D170" s="3" t="inlineStr">
        <is>
          <t>在校学生</t>
        </is>
      </c>
      <c r="E170" s="3" t="inlineStr">
        <is>
          <t>zhaojieping169@bai.edu.cn</t>
        </is>
      </c>
      <c r="F170" s="2" t="inlineStr">
        <is>
          <t>15971480796</t>
        </is>
      </c>
      <c r="G170" s="2" t="inlineStr">
        <is>
          <t>学生</t>
        </is>
      </c>
      <c r="H170" s="2" t="inlineStr">
        <is>
          <t>标准</t>
        </is>
      </c>
      <c r="I170" s="2" t="inlineStr">
        <is>
          <t>S</t>
        </is>
      </c>
      <c r="J170" s="4" t="n">
        <v>46149</v>
      </c>
      <c r="K170" s="2" t="inlineStr">
        <is>
          <t>已签到</t>
        </is>
      </c>
    </row>
    <row r="171">
      <c r="A171" s="2" t="n">
        <v>170</v>
      </c>
      <c r="B171" s="3" t="inlineStr">
        <is>
          <t>曹宁雨</t>
        </is>
      </c>
      <c r="C171" s="3" t="inlineStr">
        <is>
          <t>南粤科技大学</t>
        </is>
      </c>
      <c r="D171" s="3" t="inlineStr">
        <is>
          <t>在校学生</t>
        </is>
      </c>
      <c r="E171" s="3" t="inlineStr">
        <is>
          <t>caoningyu170@nyust.edu.cn</t>
        </is>
      </c>
      <c r="F171" s="2" t="inlineStr">
        <is>
          <t>13541451334</t>
        </is>
      </c>
      <c r="G171" s="2" t="inlineStr">
        <is>
          <t>学生</t>
        </is>
      </c>
      <c r="H171" s="2" t="inlineStr">
        <is>
          <t>无麸质</t>
        </is>
      </c>
      <c r="I171" s="2" t="inlineStr">
        <is>
          <t>L</t>
        </is>
      </c>
      <c r="J171" s="4" t="n">
        <v>46127</v>
      </c>
      <c r="K171" s="2" t="inlineStr">
        <is>
          <t>已签到</t>
        </is>
      </c>
    </row>
    <row r="172">
      <c r="A172" s="2" t="n">
        <v>171</v>
      </c>
      <c r="B172" s="3" t="inlineStr">
        <is>
          <t>宋琪</t>
        </is>
      </c>
      <c r="C172" s="3" t="inlineStr">
        <is>
          <t>南粤科技大学</t>
        </is>
      </c>
      <c r="D172" s="3" t="inlineStr">
        <is>
          <t>在校学生</t>
        </is>
      </c>
      <c r="E172" s="3" t="inlineStr">
        <is>
          <t>songqi171@nyust.edu.cn</t>
        </is>
      </c>
      <c r="F172" s="2" t="inlineStr">
        <is>
          <t>15936646737</t>
        </is>
      </c>
      <c r="G172" s="2" t="inlineStr">
        <is>
          <t>学生</t>
        </is>
      </c>
      <c r="H172" s="2" t="inlineStr">
        <is>
          <t>标准</t>
        </is>
      </c>
      <c r="I172" s="2" t="inlineStr">
        <is>
          <t>M</t>
        </is>
      </c>
      <c r="J172" s="4" t="n">
        <v>46133</v>
      </c>
      <c r="K172" s="2" t="inlineStr">
        <is>
          <t>已签到</t>
        </is>
      </c>
    </row>
    <row r="173">
      <c r="A173" s="2" t="n">
        <v>172</v>
      </c>
      <c r="B173" s="3" t="inlineStr">
        <is>
          <t>蒋桐</t>
        </is>
      </c>
      <c r="C173" s="3" t="inlineStr">
        <is>
          <t>鹏城理工学院</t>
        </is>
      </c>
      <c r="D173" s="3" t="inlineStr">
        <is>
          <t>在校学生</t>
        </is>
      </c>
      <c r="E173" s="3" t="inlineStr">
        <is>
          <t>jiangtong172@pcit.edu.cn</t>
        </is>
      </c>
      <c r="F173" s="2" t="inlineStr">
        <is>
          <t>13627726470</t>
        </is>
      </c>
      <c r="G173" s="2" t="inlineStr">
        <is>
          <t>学生</t>
        </is>
      </c>
      <c r="H173" s="2" t="inlineStr">
        <is>
          <t>素食</t>
        </is>
      </c>
      <c r="I173" s="2" t="inlineStr">
        <is>
          <t>XL</t>
        </is>
      </c>
      <c r="J173" s="4" t="n">
        <v>46155</v>
      </c>
      <c r="K173" s="2" t="inlineStr">
        <is>
          <t>已签到</t>
        </is>
      </c>
    </row>
    <row r="174">
      <c r="A174" s="2" t="n">
        <v>173</v>
      </c>
      <c r="B174" s="3" t="inlineStr">
        <is>
          <t>郑杰</t>
        </is>
      </c>
      <c r="C174" s="3" t="inlineStr">
        <is>
          <t>南粤科技大学</t>
        </is>
      </c>
      <c r="D174" s="3" t="inlineStr">
        <is>
          <t>在校学生</t>
        </is>
      </c>
      <c r="E174" s="3" t="inlineStr">
        <is>
          <t>zhengjie173@nyust.edu.cn</t>
        </is>
      </c>
      <c r="F174" s="2" t="inlineStr">
        <is>
          <t>18808092764</t>
        </is>
      </c>
      <c r="G174" s="2" t="inlineStr">
        <is>
          <t>学生</t>
        </is>
      </c>
      <c r="H174" s="2" t="inlineStr">
        <is>
          <t>标准</t>
        </is>
      </c>
      <c r="I174" s="2" t="inlineStr">
        <is>
          <t>M</t>
        </is>
      </c>
      <c r="J174" s="4" t="n">
        <v>46116</v>
      </c>
      <c r="K174" s="2" t="inlineStr">
        <is>
          <t>已签到</t>
        </is>
      </c>
    </row>
    <row r="175">
      <c r="A175" s="2" t="n">
        <v>174</v>
      </c>
      <c r="B175" s="3" t="inlineStr">
        <is>
          <t>徐明</t>
        </is>
      </c>
      <c r="C175" s="3" t="inlineStr">
        <is>
          <t>南粤科技大学</t>
        </is>
      </c>
      <c r="D175" s="3" t="inlineStr">
        <is>
          <t>在校学生</t>
        </is>
      </c>
      <c r="E175" s="3" t="inlineStr">
        <is>
          <t>xuming174@nyust.edu.cn</t>
        </is>
      </c>
      <c r="F175" s="2" t="inlineStr">
        <is>
          <t>13502134501</t>
        </is>
      </c>
      <c r="G175" s="2" t="inlineStr">
        <is>
          <t>学生</t>
        </is>
      </c>
      <c r="H175" s="2" t="inlineStr">
        <is>
          <t>清真</t>
        </is>
      </c>
      <c r="I175" s="2" t="inlineStr">
        <is>
          <t>L</t>
        </is>
      </c>
      <c r="J175" s="4" t="n">
        <v>46132</v>
      </c>
      <c r="K175" s="2" t="inlineStr">
        <is>
          <t>已签到</t>
        </is>
      </c>
    </row>
    <row r="176">
      <c r="A176" s="2" t="n">
        <v>175</v>
      </c>
      <c r="B176" s="3" t="inlineStr">
        <is>
          <t>彭宁</t>
        </is>
      </c>
      <c r="C176" s="3" t="inlineStr">
        <is>
          <t>湾区信息学院</t>
        </is>
      </c>
      <c r="D176" s="3" t="inlineStr">
        <is>
          <t>在校学生</t>
        </is>
      </c>
      <c r="E176" s="3" t="inlineStr">
        <is>
          <t>pengning175@bai.edu.cn</t>
        </is>
      </c>
      <c r="F176" s="2" t="inlineStr">
        <is>
          <t>13911840459</t>
        </is>
      </c>
      <c r="G176" s="2" t="inlineStr">
        <is>
          <t>学生</t>
        </is>
      </c>
      <c r="H176" s="2" t="inlineStr">
        <is>
          <t>标准</t>
        </is>
      </c>
      <c r="I176" s="2" t="inlineStr">
        <is>
          <t>L</t>
        </is>
      </c>
      <c r="J176" s="4" t="n">
        <v>46155</v>
      </c>
      <c r="K176" s="2" t="inlineStr">
        <is>
          <t>请假</t>
        </is>
      </c>
    </row>
    <row r="177">
      <c r="A177" s="2" t="n">
        <v>176</v>
      </c>
      <c r="B177" s="3" t="inlineStr">
        <is>
          <t>郭明博</t>
        </is>
      </c>
      <c r="C177" s="3" t="inlineStr">
        <is>
          <t>湾区信息学院</t>
        </is>
      </c>
      <c r="D177" s="3" t="inlineStr">
        <is>
          <t>在校学生</t>
        </is>
      </c>
      <c r="E177" s="3" t="inlineStr">
        <is>
          <t>guomingbo176@bai.edu.cn</t>
        </is>
      </c>
      <c r="F177" s="2" t="inlineStr">
        <is>
          <t>13843297929</t>
        </is>
      </c>
      <c r="G177" s="2" t="inlineStr">
        <is>
          <t>学生</t>
        </is>
      </c>
      <c r="H177" s="2" t="inlineStr">
        <is>
          <t>标准</t>
        </is>
      </c>
      <c r="I177" s="2" t="inlineStr">
        <is>
          <t>M</t>
        </is>
      </c>
      <c r="J177" s="4" t="n">
        <v>46148</v>
      </c>
      <c r="K177" s="2" t="inlineStr">
        <is>
          <t>已签到</t>
        </is>
      </c>
    </row>
    <row r="178">
      <c r="A178" s="2" t="n">
        <v>177</v>
      </c>
      <c r="B178" s="3" t="inlineStr">
        <is>
          <t>冯洋宁</t>
        </is>
      </c>
      <c r="C178" s="3" t="inlineStr">
        <is>
          <t>南粤科技大学</t>
        </is>
      </c>
      <c r="D178" s="3" t="inlineStr">
        <is>
          <t>在校学生</t>
        </is>
      </c>
      <c r="E178" s="3" t="inlineStr">
        <is>
          <t>fengyangning177@nyust.edu.cn</t>
        </is>
      </c>
      <c r="F178" s="2" t="inlineStr">
        <is>
          <t>15839295806</t>
        </is>
      </c>
      <c r="G178" s="2" t="inlineStr">
        <is>
          <t>学生</t>
        </is>
      </c>
      <c r="H178" s="2" t="inlineStr">
        <is>
          <t>清真</t>
        </is>
      </c>
      <c r="I178" s="2" t="inlineStr">
        <is>
          <t>M</t>
        </is>
      </c>
      <c r="J178" s="4" t="n">
        <v>46135</v>
      </c>
      <c r="K178" s="2" t="inlineStr">
        <is>
          <t>已签到</t>
        </is>
      </c>
    </row>
    <row r="179">
      <c r="A179" s="2" t="n">
        <v>178</v>
      </c>
      <c r="B179" s="3" t="inlineStr">
        <is>
          <t>徐平芳</t>
        </is>
      </c>
      <c r="C179" s="3" t="inlineStr">
        <is>
          <t>湾区信息学院</t>
        </is>
      </c>
      <c r="D179" s="3" t="inlineStr">
        <is>
          <t>在校学生</t>
        </is>
      </c>
      <c r="E179" s="3" t="inlineStr">
        <is>
          <t>xupingfang178@bai.edu.cn</t>
        </is>
      </c>
      <c r="F179" s="2" t="inlineStr">
        <is>
          <t>13570732929</t>
        </is>
      </c>
      <c r="G179" s="2" t="inlineStr">
        <is>
          <t>学生</t>
        </is>
      </c>
      <c r="H179" s="2" t="inlineStr">
        <is>
          <t>标准</t>
        </is>
      </c>
      <c r="I179" s="2" t="inlineStr">
        <is>
          <t>S</t>
        </is>
      </c>
      <c r="J179" s="4" t="n">
        <v>46140</v>
      </c>
      <c r="K179" s="2" t="inlineStr">
        <is>
          <t>未签到</t>
        </is>
      </c>
    </row>
    <row r="180">
      <c r="A180" s="2" t="n">
        <v>179</v>
      </c>
      <c r="B180" s="3" t="inlineStr">
        <is>
          <t>董磊桐</t>
        </is>
      </c>
      <c r="C180" s="3" t="inlineStr">
        <is>
          <t>湾区信息学院</t>
        </is>
      </c>
      <c r="D180" s="3" t="inlineStr">
        <is>
          <t>在校学生</t>
        </is>
      </c>
      <c r="E180" s="3" t="inlineStr">
        <is>
          <t>dongleitong179@bai.edu.cn</t>
        </is>
      </c>
      <c r="F180" s="2" t="inlineStr">
        <is>
          <t>13613145117</t>
        </is>
      </c>
      <c r="G180" s="2" t="inlineStr">
        <is>
          <t>学生</t>
        </is>
      </c>
      <c r="H180" s="2" t="inlineStr">
        <is>
          <t>素食</t>
        </is>
      </c>
      <c r="I180" s="2" t="inlineStr">
        <is>
          <t>M</t>
        </is>
      </c>
      <c r="J180" s="4" t="n">
        <v>46134</v>
      </c>
      <c r="K180" s="2" t="inlineStr">
        <is>
          <t>已签到</t>
        </is>
      </c>
    </row>
    <row r="181">
      <c r="A181" s="2" t="n">
        <v>180</v>
      </c>
      <c r="B181" s="3" t="inlineStr">
        <is>
          <t>黄静宁</t>
        </is>
      </c>
      <c r="C181" s="3" t="inlineStr">
        <is>
          <t>南粤科技大学</t>
        </is>
      </c>
      <c r="D181" s="3" t="inlineStr">
        <is>
          <t>在校学生</t>
        </is>
      </c>
      <c r="E181" s="3" t="inlineStr">
        <is>
          <t>huangjingning180@nyust.edu.cn</t>
        </is>
      </c>
      <c r="F181" s="2" t="inlineStr">
        <is>
          <t>13540364967</t>
        </is>
      </c>
      <c r="G181" s="2" t="inlineStr">
        <is>
          <t>学生</t>
        </is>
      </c>
      <c r="H181" s="2" t="inlineStr">
        <is>
          <t>标准</t>
        </is>
      </c>
      <c r="I181" s="2" t="inlineStr">
        <is>
          <t>M</t>
        </is>
      </c>
      <c r="J181" s="4" t="n">
        <v>46096</v>
      </c>
      <c r="K181" s="2" t="inlineStr">
        <is>
          <t>未签到</t>
        </is>
      </c>
    </row>
    <row r="182">
      <c r="A182" s="2" t="n">
        <v>181</v>
      </c>
      <c r="B182" s="3" t="inlineStr">
        <is>
          <t>孙静</t>
        </is>
      </c>
      <c r="C182" s="3" t="inlineStr">
        <is>
          <t>星瀚科技</t>
        </is>
      </c>
      <c r="D182" s="3" t="inlineStr">
        <is>
          <t>生态合作经理</t>
        </is>
      </c>
      <c r="E182" s="3" t="inlineStr">
        <is>
          <t>sunjing181@xinghan-tech.com</t>
        </is>
      </c>
      <c r="F182" s="2" t="inlineStr">
        <is>
          <t>18674598827</t>
        </is>
      </c>
      <c r="G182" s="2" t="inlineStr">
        <is>
          <t>赞助商</t>
        </is>
      </c>
      <c r="H182" s="2" t="inlineStr">
        <is>
          <t>无麸质</t>
        </is>
      </c>
      <c r="I182" s="2" t="inlineStr">
        <is>
          <t>S</t>
        </is>
      </c>
      <c r="J182" s="4" t="n">
        <v>46108</v>
      </c>
      <c r="K182" s="2" t="inlineStr">
        <is>
          <t>已签到</t>
        </is>
      </c>
    </row>
    <row r="183">
      <c r="A183" s="2" t="n">
        <v>182</v>
      </c>
      <c r="B183" s="3" t="inlineStr">
        <is>
          <t>冯文敏</t>
        </is>
      </c>
      <c r="C183" s="3" t="inlineStr">
        <is>
          <t>星环动力</t>
        </is>
      </c>
      <c r="D183" s="3" t="inlineStr">
        <is>
          <t>市场总监</t>
        </is>
      </c>
      <c r="E183" s="3" t="inlineStr">
        <is>
          <t>fengwenmin182@stellar-ring.com</t>
        </is>
      </c>
      <c r="F183" s="2" t="inlineStr">
        <is>
          <t>13640229794</t>
        </is>
      </c>
      <c r="G183" s="2" t="inlineStr">
        <is>
          <t>赞助商</t>
        </is>
      </c>
      <c r="H183" s="2" t="inlineStr">
        <is>
          <t>标准</t>
        </is>
      </c>
      <c r="I183" s="2" t="inlineStr">
        <is>
          <t>L</t>
        </is>
      </c>
      <c r="J183" s="4" t="n">
        <v>46110</v>
      </c>
      <c r="K183" s="2" t="inlineStr">
        <is>
          <t>已签到</t>
        </is>
      </c>
    </row>
    <row r="184">
      <c r="A184" s="2" t="n">
        <v>183</v>
      </c>
      <c r="B184" s="3" t="inlineStr">
        <is>
          <t>徐怡</t>
        </is>
      </c>
      <c r="C184" s="3" t="inlineStr">
        <is>
          <t>微光信息</t>
        </is>
      </c>
      <c r="D184" s="3" t="inlineStr">
        <is>
          <t>生态合作经理</t>
        </is>
      </c>
      <c r="E184" s="3" t="inlineStr">
        <is>
          <t>xuyi183@glimmer-info.cn</t>
        </is>
      </c>
      <c r="F184" s="2" t="inlineStr">
        <is>
          <t>18874820036</t>
        </is>
      </c>
      <c r="G184" s="2" t="inlineStr">
        <is>
          <t>赞助商</t>
        </is>
      </c>
      <c r="H184" s="2" t="inlineStr">
        <is>
          <t>标准</t>
        </is>
      </c>
      <c r="I184" s="2" t="inlineStr">
        <is>
          <t>L</t>
        </is>
      </c>
      <c r="J184" s="4" t="n">
        <v>46105</v>
      </c>
      <c r="K184" s="2" t="inlineStr">
        <is>
          <t>未签到</t>
        </is>
      </c>
    </row>
    <row r="185">
      <c r="A185" s="2" t="n">
        <v>184</v>
      </c>
      <c r="B185" s="3" t="inlineStr">
        <is>
          <t>董彤</t>
        </is>
      </c>
      <c r="C185" s="3" t="inlineStr">
        <is>
          <t>微光信息</t>
        </is>
      </c>
      <c r="D185" s="3" t="inlineStr">
        <is>
          <t>BD 总监</t>
        </is>
      </c>
      <c r="E185" s="3" t="inlineStr">
        <is>
          <t>dongtong184@glimmer-info.cn</t>
        </is>
      </c>
      <c r="F185" s="2" t="inlineStr">
        <is>
          <t>13860104856</t>
        </is>
      </c>
      <c r="G185" s="2" t="inlineStr">
        <is>
          <t>赞助商</t>
        </is>
      </c>
      <c r="H185" s="2" t="inlineStr">
        <is>
          <t>标准</t>
        </is>
      </c>
      <c r="I185" s="2" t="inlineStr">
        <is>
          <t>L</t>
        </is>
      </c>
      <c r="J185" s="4" t="n">
        <v>46123</v>
      </c>
      <c r="K185" s="2" t="inlineStr">
        <is>
          <t>已签到</t>
        </is>
      </c>
    </row>
    <row r="186">
      <c r="A186" s="2" t="n">
        <v>185</v>
      </c>
      <c r="B186" s="3" t="inlineStr">
        <is>
          <t>何泽宇</t>
        </is>
      </c>
      <c r="C186" s="3" t="inlineStr">
        <is>
          <t>蜂巢科技</t>
        </is>
      </c>
      <c r="D186" s="3" t="inlineStr">
        <is>
          <t>市场总监</t>
        </is>
      </c>
      <c r="E186" s="3" t="inlineStr">
        <is>
          <t>hezeyu185@hive-tech.cn</t>
        </is>
      </c>
      <c r="F186" s="2" t="inlineStr">
        <is>
          <t>13930749487</t>
        </is>
      </c>
      <c r="G186" s="2" t="inlineStr">
        <is>
          <t>赞助商</t>
        </is>
      </c>
      <c r="H186" s="2" t="inlineStr">
        <is>
          <t>清真</t>
        </is>
      </c>
      <c r="I186" s="2" t="inlineStr">
        <is>
          <t>L</t>
        </is>
      </c>
      <c r="J186" s="4" t="n">
        <v>46117</v>
      </c>
      <c r="K186" s="2" t="inlineStr">
        <is>
          <t>已签到</t>
        </is>
      </c>
    </row>
    <row r="187">
      <c r="A187" s="2" t="n">
        <v>186</v>
      </c>
      <c r="B187" s="3" t="inlineStr">
        <is>
          <t>孙洋</t>
        </is>
      </c>
      <c r="C187" s="3" t="inlineStr">
        <is>
          <t>领航智造</t>
        </is>
      </c>
      <c r="D187" s="3" t="inlineStr">
        <is>
          <t>品牌经理</t>
        </is>
      </c>
      <c r="E187" s="3" t="inlineStr">
        <is>
          <t>sunyang186@navi-mfg.com</t>
        </is>
      </c>
      <c r="F187" s="2" t="inlineStr">
        <is>
          <t>18689825684</t>
        </is>
      </c>
      <c r="G187" s="2" t="inlineStr">
        <is>
          <t>赞助商</t>
        </is>
      </c>
      <c r="H187" s="2" t="inlineStr">
        <is>
          <t>标准</t>
        </is>
      </c>
      <c r="I187" s="2" t="inlineStr">
        <is>
          <t>M</t>
        </is>
      </c>
      <c r="J187" s="4" t="n">
        <v>46120</v>
      </c>
      <c r="K187" s="2" t="inlineStr">
        <is>
          <t>已签到</t>
        </is>
      </c>
    </row>
    <row r="188">
      <c r="A188" s="2" t="n">
        <v>187</v>
      </c>
      <c r="B188" s="3" t="inlineStr">
        <is>
          <t>韩明睿</t>
        </is>
      </c>
      <c r="C188" s="3" t="inlineStr">
        <is>
          <t>极光数据</t>
        </is>
      </c>
      <c r="D188" s="3" t="inlineStr">
        <is>
          <t>生态合作经理</t>
        </is>
      </c>
      <c r="E188" s="3" t="inlineStr">
        <is>
          <t>hanmingrui187@aurora-data.cn</t>
        </is>
      </c>
      <c r="F188" s="2" t="inlineStr">
        <is>
          <t>13644020081</t>
        </is>
      </c>
      <c r="G188" s="2" t="inlineStr">
        <is>
          <t>赞助商</t>
        </is>
      </c>
      <c r="H188" s="2" t="inlineStr">
        <is>
          <t>标准</t>
        </is>
      </c>
      <c r="I188" s="2" t="inlineStr">
        <is>
          <t>XL</t>
        </is>
      </c>
      <c r="J188" s="4" t="n">
        <v>46121</v>
      </c>
      <c r="K188" s="2" t="inlineStr">
        <is>
          <t>已签到</t>
        </is>
      </c>
    </row>
    <row r="189">
      <c r="A189" s="2" t="n">
        <v>188</v>
      </c>
      <c r="B189" s="3" t="inlineStr">
        <is>
          <t>黄芳刚</t>
        </is>
      </c>
      <c r="C189" s="3" t="inlineStr">
        <is>
          <t>蜂巢科技</t>
        </is>
      </c>
      <c r="D189" s="3" t="inlineStr">
        <is>
          <t>品牌经理</t>
        </is>
      </c>
      <c r="E189" s="3" t="inlineStr">
        <is>
          <t>huangfanggang188@hive-tech.cn</t>
        </is>
      </c>
      <c r="F189" s="2" t="inlineStr">
        <is>
          <t>18659237870</t>
        </is>
      </c>
      <c r="G189" s="2" t="inlineStr">
        <is>
          <t>赞助商</t>
        </is>
      </c>
      <c r="H189" s="2" t="inlineStr">
        <is>
          <t>标准</t>
        </is>
      </c>
      <c r="I189" s="2" t="inlineStr">
        <is>
          <t>L</t>
        </is>
      </c>
      <c r="J189" s="4" t="n">
        <v>46093</v>
      </c>
      <c r="K189" s="2" t="inlineStr">
        <is>
          <t>已签到</t>
        </is>
      </c>
    </row>
    <row r="190">
      <c r="A190" s="2" t="n">
        <v>189</v>
      </c>
      <c r="B190" s="3" t="inlineStr">
        <is>
          <t>李宁嘉</t>
        </is>
      </c>
      <c r="C190" s="3" t="inlineStr">
        <is>
          <t>蓝图网络</t>
        </is>
      </c>
      <c r="D190" s="3" t="inlineStr">
        <is>
          <t>生态合作经理</t>
        </is>
      </c>
      <c r="E190" s="3" t="inlineStr">
        <is>
          <t>liningjia189@lantoo.net</t>
        </is>
      </c>
      <c r="F190" s="2" t="inlineStr">
        <is>
          <t>13513872660</t>
        </is>
      </c>
      <c r="G190" s="2" t="inlineStr">
        <is>
          <t>赞助商</t>
        </is>
      </c>
      <c r="H190" s="2" t="inlineStr">
        <is>
          <t>标准</t>
        </is>
      </c>
      <c r="I190" s="2" t="inlineStr">
        <is>
          <t>L</t>
        </is>
      </c>
      <c r="J190" s="4" t="n">
        <v>46109</v>
      </c>
      <c r="K190" s="2" t="inlineStr">
        <is>
          <t>已签到</t>
        </is>
      </c>
    </row>
    <row r="191">
      <c r="A191" s="2" t="n">
        <v>190</v>
      </c>
      <c r="B191" s="3" t="inlineStr">
        <is>
          <t>曹宇</t>
        </is>
      </c>
      <c r="C191" s="3" t="inlineStr">
        <is>
          <t>星瀚科技</t>
        </is>
      </c>
      <c r="D191" s="3" t="inlineStr">
        <is>
          <t>BD 总监</t>
        </is>
      </c>
      <c r="E191" s="3" t="inlineStr">
        <is>
          <t>caoyu190@xinghan-tech.com</t>
        </is>
      </c>
      <c r="F191" s="2" t="inlineStr">
        <is>
          <t>15820575228</t>
        </is>
      </c>
      <c r="G191" s="2" t="inlineStr">
        <is>
          <t>赞助商</t>
        </is>
      </c>
      <c r="H191" s="2" t="inlineStr">
        <is>
          <t>标准</t>
        </is>
      </c>
      <c r="I191" s="2" t="inlineStr">
        <is>
          <t>M</t>
        </is>
      </c>
      <c r="J191" s="4" t="n">
        <v>46116</v>
      </c>
      <c r="K191" s="2" t="inlineStr">
        <is>
          <t>已签到</t>
        </is>
      </c>
    </row>
    <row r="192">
      <c r="A192" s="2" t="n">
        <v>191</v>
      </c>
      <c r="B192" s="3" t="inlineStr">
        <is>
          <t>高平</t>
        </is>
      </c>
      <c r="C192" s="3" t="inlineStr">
        <is>
          <t>蜂巢科技</t>
        </is>
      </c>
      <c r="D192" s="3" t="inlineStr">
        <is>
          <t>BD 总监</t>
        </is>
      </c>
      <c r="E192" s="3" t="inlineStr">
        <is>
          <t>gaoping191@hive-tech.cn</t>
        </is>
      </c>
      <c r="F192" s="2" t="inlineStr">
        <is>
          <t>13887614777</t>
        </is>
      </c>
      <c r="G192" s="2" t="inlineStr">
        <is>
          <t>赞助商</t>
        </is>
      </c>
      <c r="H192" s="2" t="inlineStr">
        <is>
          <t>素食</t>
        </is>
      </c>
      <c r="I192" s="2" t="inlineStr">
        <is>
          <t>XL</t>
        </is>
      </c>
      <c r="J192" s="4" t="n">
        <v>46128</v>
      </c>
      <c r="K192" s="2" t="inlineStr">
        <is>
          <t>已签到</t>
        </is>
      </c>
    </row>
    <row r="193">
      <c r="A193" s="2" t="n">
        <v>192</v>
      </c>
      <c r="B193" s="3" t="inlineStr">
        <is>
          <t>宋博</t>
        </is>
      </c>
      <c r="C193" s="3" t="inlineStr">
        <is>
          <t>领航智造</t>
        </is>
      </c>
      <c r="D193" s="3" t="inlineStr">
        <is>
          <t>BD 总监</t>
        </is>
      </c>
      <c r="E193" s="3" t="inlineStr">
        <is>
          <t>songbo192@navi-mfg.com</t>
        </is>
      </c>
      <c r="F193" s="2" t="inlineStr">
        <is>
          <t>18847382724</t>
        </is>
      </c>
      <c r="G193" s="2" t="inlineStr">
        <is>
          <t>赞助商</t>
        </is>
      </c>
      <c r="H193" s="2" t="inlineStr">
        <is>
          <t>标准</t>
        </is>
      </c>
      <c r="I193" s="2" t="inlineStr">
        <is>
          <t>M</t>
        </is>
      </c>
      <c r="J193" s="4" t="n">
        <v>46135</v>
      </c>
      <c r="K193" s="2" t="inlineStr">
        <is>
          <t>已签到</t>
        </is>
      </c>
    </row>
    <row r="194">
      <c r="A194" s="2" t="n">
        <v>193</v>
      </c>
      <c r="B194" s="3" t="inlineStr">
        <is>
          <t>徐涛</t>
        </is>
      </c>
      <c r="C194" s="3" t="inlineStr">
        <is>
          <t>蜂巢科技</t>
        </is>
      </c>
      <c r="D194" s="3" t="inlineStr">
        <is>
          <t>市场总监</t>
        </is>
      </c>
      <c r="E194" s="3" t="inlineStr">
        <is>
          <t>xutao193@hive-tech.cn</t>
        </is>
      </c>
      <c r="F194" s="2" t="inlineStr">
        <is>
          <t>13920735797</t>
        </is>
      </c>
      <c r="G194" s="2" t="inlineStr">
        <is>
          <t>赞助商</t>
        </is>
      </c>
      <c r="H194" s="2" t="inlineStr">
        <is>
          <t>标准</t>
        </is>
      </c>
      <c r="I194" s="2" t="inlineStr">
        <is>
          <t>M</t>
        </is>
      </c>
      <c r="J194" s="4" t="n">
        <v>46142</v>
      </c>
      <c r="K194" s="2" t="inlineStr">
        <is>
          <t>已签到</t>
        </is>
      </c>
    </row>
    <row r="195">
      <c r="A195" s="2" t="n">
        <v>194</v>
      </c>
      <c r="B195" s="3" t="inlineStr">
        <is>
          <t>周娟雨</t>
        </is>
      </c>
      <c r="C195" s="3" t="inlineStr">
        <is>
          <t>蓝图网络</t>
        </is>
      </c>
      <c r="D195" s="3" t="inlineStr">
        <is>
          <t>品牌经理</t>
        </is>
      </c>
      <c r="E195" s="3" t="inlineStr">
        <is>
          <t>zhoujuanyu194@lantoo.net</t>
        </is>
      </c>
      <c r="F195" s="2" t="inlineStr">
        <is>
          <t>15952204008</t>
        </is>
      </c>
      <c r="G195" s="2" t="inlineStr">
        <is>
          <t>赞助商</t>
        </is>
      </c>
      <c r="H195" s="2" t="inlineStr">
        <is>
          <t>素食</t>
        </is>
      </c>
      <c r="I195" s="2" t="inlineStr">
        <is>
          <t>L</t>
        </is>
      </c>
      <c r="J195" s="4" t="n">
        <v>46133</v>
      </c>
      <c r="K195" s="2" t="inlineStr">
        <is>
          <t>已签到</t>
        </is>
      </c>
    </row>
    <row r="196">
      <c r="A196" s="2" t="n">
        <v>195</v>
      </c>
      <c r="B196" s="3" t="inlineStr">
        <is>
          <t>梁博</t>
        </is>
      </c>
      <c r="C196" s="3" t="inlineStr">
        <is>
          <t>灵犀科技</t>
        </is>
      </c>
      <c r="D196" s="3" t="inlineStr">
        <is>
          <t>BD 总监</t>
        </is>
      </c>
      <c r="E196" s="3" t="inlineStr">
        <is>
          <t>liangbo195@lingxi-labs.cn</t>
        </is>
      </c>
      <c r="F196" s="2" t="inlineStr">
        <is>
          <t>13530868478</t>
        </is>
      </c>
      <c r="G196" s="2" t="inlineStr">
        <is>
          <t>赞助商</t>
        </is>
      </c>
      <c r="H196" s="2" t="inlineStr">
        <is>
          <t>素食</t>
        </is>
      </c>
      <c r="I196" s="2" t="inlineStr">
        <is>
          <t>M</t>
        </is>
      </c>
      <c r="J196" s="4" t="n">
        <v>46155</v>
      </c>
      <c r="K196" s="2" t="inlineStr">
        <is>
          <t>已签到</t>
        </is>
      </c>
    </row>
    <row r="197">
      <c r="A197" s="2" t="n">
        <v>196</v>
      </c>
      <c r="B197" s="3" t="inlineStr">
        <is>
          <t>徐博</t>
        </is>
      </c>
      <c r="C197" s="3" t="inlineStr">
        <is>
          <t>智汇云</t>
        </is>
      </c>
      <c r="D197" s="3" t="inlineStr">
        <is>
          <t>品牌经理</t>
        </is>
      </c>
      <c r="E197" s="3" t="inlineStr">
        <is>
          <t>xubo196@zhihui-cloud.com</t>
        </is>
      </c>
      <c r="F197" s="2" t="inlineStr">
        <is>
          <t>13975446454</t>
        </is>
      </c>
      <c r="G197" s="2" t="inlineStr">
        <is>
          <t>赞助商</t>
        </is>
      </c>
      <c r="H197" s="2" t="inlineStr">
        <is>
          <t>标准</t>
        </is>
      </c>
      <c r="I197" s="2" t="inlineStr">
        <is>
          <t>L</t>
        </is>
      </c>
      <c r="J197" s="4" t="n">
        <v>46142</v>
      </c>
      <c r="K197" s="2" t="inlineStr">
        <is>
          <t>已签到</t>
        </is>
      </c>
    </row>
    <row r="198">
      <c r="A198" s="2" t="n">
        <v>197</v>
      </c>
      <c r="B198" s="3" t="inlineStr">
        <is>
          <t>何彤</t>
        </is>
      </c>
      <c r="C198" s="3" t="inlineStr">
        <is>
          <t>深蓝计算</t>
        </is>
      </c>
      <c r="D198" s="3" t="inlineStr">
        <is>
          <t>市场总监</t>
        </is>
      </c>
      <c r="E198" s="3" t="inlineStr">
        <is>
          <t>hetong197@deepblue-comp.com</t>
        </is>
      </c>
      <c r="F198" s="2" t="inlineStr">
        <is>
          <t>13970541290</t>
        </is>
      </c>
      <c r="G198" s="2" t="inlineStr">
        <is>
          <t>赞助商</t>
        </is>
      </c>
      <c r="H198" s="2" t="inlineStr">
        <is>
          <t>无麸质</t>
        </is>
      </c>
      <c r="I198" s="2" t="inlineStr">
        <is>
          <t>S</t>
        </is>
      </c>
      <c r="J198" s="4" t="n">
        <v>46143</v>
      </c>
      <c r="K198" s="2" t="inlineStr">
        <is>
          <t>已签到</t>
        </is>
      </c>
    </row>
    <row r="199">
      <c r="A199" s="2" t="n">
        <v>198</v>
      </c>
      <c r="B199" s="3" t="inlineStr">
        <is>
          <t>罗伟</t>
        </is>
      </c>
      <c r="C199" s="3" t="inlineStr">
        <is>
          <t>启元软件</t>
        </is>
      </c>
      <c r="D199" s="3" t="inlineStr">
        <is>
          <t>生态合作经理</t>
        </is>
      </c>
      <c r="E199" s="3" t="inlineStr">
        <is>
          <t>luowei198@qiyuan-soft.com</t>
        </is>
      </c>
      <c r="F199" s="2" t="inlineStr">
        <is>
          <t>18864459878</t>
        </is>
      </c>
      <c r="G199" s="2" t="inlineStr">
        <is>
          <t>赞助商</t>
        </is>
      </c>
      <c r="H199" s="2" t="inlineStr">
        <is>
          <t>标准</t>
        </is>
      </c>
      <c r="I199" s="2" t="inlineStr">
        <is>
          <t>S</t>
        </is>
      </c>
      <c r="J199" s="4" t="n">
        <v>46154</v>
      </c>
      <c r="K199" s="2" t="inlineStr">
        <is>
          <t>已签到</t>
        </is>
      </c>
    </row>
    <row r="200">
      <c r="A200" s="2" t="n">
        <v>199</v>
      </c>
      <c r="B200" s="3" t="inlineStr">
        <is>
          <t>潘芳</t>
        </is>
      </c>
      <c r="C200" s="3" t="inlineStr">
        <is>
          <t>蓝图网络</t>
        </is>
      </c>
      <c r="D200" s="3" t="inlineStr">
        <is>
          <t>BD 总监</t>
        </is>
      </c>
      <c r="E200" s="3" t="inlineStr">
        <is>
          <t>panfang199@lantoo.net</t>
        </is>
      </c>
      <c r="F200" s="2" t="inlineStr">
        <is>
          <t>13539320992</t>
        </is>
      </c>
      <c r="G200" s="2" t="inlineStr">
        <is>
          <t>赞助商</t>
        </is>
      </c>
      <c r="H200" s="2" t="inlineStr">
        <is>
          <t>清真</t>
        </is>
      </c>
      <c r="I200" s="2" t="inlineStr">
        <is>
          <t>S</t>
        </is>
      </c>
      <c r="J200" s="4" t="n">
        <v>46124</v>
      </c>
      <c r="K200" s="2" t="inlineStr">
        <is>
          <t>已签到</t>
        </is>
      </c>
    </row>
    <row r="201">
      <c r="A201" s="2" t="n">
        <v>200</v>
      </c>
      <c r="B201" s="3" t="inlineStr">
        <is>
          <t>孙嘉</t>
        </is>
      </c>
      <c r="C201" s="3" t="inlineStr">
        <is>
          <t>启元软件</t>
        </is>
      </c>
      <c r="D201" s="3" t="inlineStr">
        <is>
          <t>BD 总监</t>
        </is>
      </c>
      <c r="E201" s="3" t="inlineStr">
        <is>
          <t>sunjia200@qiyuan-soft.com</t>
        </is>
      </c>
      <c r="F201" s="2" t="inlineStr">
        <is>
          <t>13516637548</t>
        </is>
      </c>
      <c r="G201" s="2" t="inlineStr">
        <is>
          <t>赞助商</t>
        </is>
      </c>
      <c r="H201" s="2" t="inlineStr">
        <is>
          <t>清真</t>
        </is>
      </c>
      <c r="I201" s="2" t="inlineStr">
        <is>
          <t>L</t>
        </is>
      </c>
      <c r="J201" s="4" t="n">
        <v>46145</v>
      </c>
      <c r="K201" s="2" t="inlineStr">
        <is>
          <t>已签到</t>
        </is>
      </c>
    </row>
  </sheetData>
  <autoFilter ref="A1:K201"/>
  <dataValidations count="3">
    <dataValidation sqref="G2:G201" showDropDown="0" showInputMessage="0" showErrorMessage="0" allowBlank="0" errorTitle="票种无效" error="请从下拉列表中选择：VIP / 标准 / 学生 / 赞助商" type="list">
      <formula1>"VIP,标准,学生,赞助商"</formula1>
    </dataValidation>
    <dataValidation sqref="H2:H201" showDropDown="0" showInputMessage="0" showErrorMessage="0" allowBlank="0" errorTitle="餐食偏好无效" error="请从下拉列表中选择：标准 / 素食 / 清真 / 无麸质" type="list">
      <formula1>"标准,素食,清真,无麸质"</formula1>
    </dataValidation>
    <dataValidation sqref="I2:I201" showDropDown="0" showInputMessage="0" showErrorMessage="0" allowBlank="0" errorTitle="尺码无效" error="请从下拉列表中选择：S / M / L / XL / XXL" type="list">
      <formula1>"S,M,L,XL,XXL"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I2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0" customWidth="1" min="4" max="4"/>
    <col width="11" customWidth="1" min="5" max="5"/>
    <col width="11" customWidth="1" min="6" max="6"/>
    <col width="12" customWidth="1" min="7" max="7"/>
    <col width="10" customWidth="1" min="8" max="8"/>
    <col width="34" customWidth="1" min="9" max="9"/>
  </cols>
  <sheetData>
    <row r="1" ht="24" customHeight="1">
      <c r="A1" s="1" t="inlineStr">
        <is>
          <t>编号</t>
        </is>
      </c>
      <c r="B1" s="1" t="inlineStr">
        <is>
          <t>姓名</t>
        </is>
      </c>
      <c r="C1" s="1" t="inlineStr">
        <is>
          <t>公司</t>
        </is>
      </c>
      <c r="D1" s="1" t="inlineStr">
        <is>
          <t>票种</t>
        </is>
      </c>
      <c r="E1" s="1" t="inlineStr">
        <is>
          <t>签到状态</t>
        </is>
      </c>
      <c r="F1" s="1" t="inlineStr">
        <is>
          <t>签到时间</t>
        </is>
      </c>
      <c r="G1" s="1" t="inlineStr">
        <is>
          <t>签到方式</t>
        </is>
      </c>
      <c r="H1" s="1" t="inlineStr">
        <is>
          <t>礼品领取</t>
        </is>
      </c>
      <c r="I1" s="1" t="inlineStr">
        <is>
          <t>备注</t>
        </is>
      </c>
    </row>
    <row r="2">
      <c r="A2" s="5" t="n">
        <v>1</v>
      </c>
      <c r="B2" s="6" t="str">
        <f>IFERROR(VLOOKUP($A2,参会名单!$A$2:$K$201,2,FALSE),"")</f>
        <v>何琪然</v>
      </c>
      <c r="C2" s="6" t="str">
        <f>IFERROR(VLOOKUP($A2,参会名单!$A$2:$K$201,3,FALSE),"")</f>
        <v>星环动力</v>
      </c>
      <c r="D2" s="7" t="str">
        <f>IFERROR(VLOOKUP($A2,参会名单!$A$2:$K$201,7,FALSE),"")</f>
        <v>VIP</v>
      </c>
      <c r="E2" s="5" t="inlineStr">
        <is>
          <t>已签到</t>
        </is>
      </c>
      <c r="F2" s="8" t="n">
        <v>0.3361111111111111</v>
      </c>
      <c r="G2" s="5" t="inlineStr">
        <is>
          <t>扫码</t>
        </is>
      </c>
      <c r="H2" s="5" t="inlineStr">
        <is>
          <t>是</t>
        </is>
      </c>
      <c r="I2" s="9" t="inlineStr"/>
    </row>
    <row r="3">
      <c r="A3" s="5" t="n">
        <v>2</v>
      </c>
      <c r="B3" s="6" t="str">
        <f>IFERROR(VLOOKUP($A3,参会名单!$A$2:$K$201,2,FALSE),"")</f>
        <v>杨杰彤</v>
      </c>
      <c r="C3" s="6" t="str">
        <f>IFERROR(VLOOKUP($A3,参会名单!$A$2:$K$201,3,FALSE),"")</f>
        <v>领航智造</v>
      </c>
      <c r="D3" s="7" t="str">
        <f>IFERROR(VLOOKUP($A3,参会名单!$A$2:$K$201,7,FALSE),"")</f>
        <v>VIP</v>
      </c>
      <c r="E3" s="5" t="inlineStr">
        <is>
          <t>已签到</t>
        </is>
      </c>
      <c r="F3" s="8" t="n">
        <v>0.3375</v>
      </c>
      <c r="G3" s="5" t="inlineStr">
        <is>
          <t>前台登记</t>
        </is>
      </c>
      <c r="H3" s="5" t="inlineStr">
        <is>
          <t>是</t>
        </is>
      </c>
      <c r="I3" s="9" t="inlineStr"/>
    </row>
    <row r="4">
      <c r="A4" s="5" t="n">
        <v>3</v>
      </c>
      <c r="B4" s="6" t="str">
        <f>IFERROR(VLOOKUP($A4,参会名单!$A$2:$K$201,2,FALSE),"")</f>
        <v>林然伟</v>
      </c>
      <c r="C4" s="6" t="str">
        <f>IFERROR(VLOOKUP($A4,参会名单!$A$2:$K$201,3,FALSE),"")</f>
        <v>南岭智联</v>
      </c>
      <c r="D4" s="7" t="str">
        <f>IFERROR(VLOOKUP($A4,参会名单!$A$2:$K$201,7,FALSE),"")</f>
        <v>VIP</v>
      </c>
      <c r="E4" s="5" t="inlineStr">
        <is>
          <t>已签到</t>
        </is>
      </c>
      <c r="F4" s="8" t="n">
        <v>0.3715277777777778</v>
      </c>
      <c r="G4" s="5" t="inlineStr">
        <is>
          <t>扫码</t>
        </is>
      </c>
      <c r="H4" s="5" t="inlineStr">
        <is>
          <t>是</t>
        </is>
      </c>
      <c r="I4" s="9" t="inlineStr"/>
    </row>
    <row r="5">
      <c r="A5" s="5" t="n">
        <v>4</v>
      </c>
      <c r="B5" s="6" t="str">
        <f>IFERROR(VLOOKUP($A5,参会名单!$A$2:$K$201,2,FALSE),"")</f>
        <v>高怡刚</v>
      </c>
      <c r="C5" s="6" t="str">
        <f>IFERROR(VLOOKUP($A5,参会名单!$A$2:$K$201,3,FALSE),"")</f>
        <v>星瀚科技</v>
      </c>
      <c r="D5" s="7" t="str">
        <f>IFERROR(VLOOKUP($A5,参会名单!$A$2:$K$201,7,FALSE),"")</f>
        <v>VIP</v>
      </c>
      <c r="E5" s="5" t="inlineStr">
        <is>
          <t>已签到</t>
        </is>
      </c>
      <c r="F5" s="8" t="n">
        <v>0.3701388888888889</v>
      </c>
      <c r="G5" s="5" t="inlineStr">
        <is>
          <t>人脸识别</t>
        </is>
      </c>
      <c r="H5" s="5" t="inlineStr">
        <is>
          <t>是</t>
        </is>
      </c>
      <c r="I5" s="9" t="inlineStr"/>
    </row>
    <row r="6">
      <c r="A6" s="5" t="n">
        <v>5</v>
      </c>
      <c r="B6" s="6" t="str">
        <f>IFERROR(VLOOKUP($A6,参会名单!$A$2:$K$201,2,FALSE),"")</f>
        <v>何文洋</v>
      </c>
      <c r="C6" s="6" t="str">
        <f>IFERROR(VLOOKUP($A6,参会名单!$A$2:$K$201,3,FALSE),"")</f>
        <v>领航智造</v>
      </c>
      <c r="D6" s="7" t="str">
        <f>IFERROR(VLOOKUP($A6,参会名单!$A$2:$K$201,7,FALSE),"")</f>
        <v>VIP</v>
      </c>
      <c r="E6" s="5" t="inlineStr">
        <is>
          <t>已签到</t>
        </is>
      </c>
      <c r="F6" s="8" t="n">
        <v>0.3527777777777778</v>
      </c>
      <c r="G6" s="5" t="inlineStr">
        <is>
          <t>人脸识别</t>
        </is>
      </c>
      <c r="H6" s="5" t="inlineStr">
        <is>
          <t>是</t>
        </is>
      </c>
      <c r="I6" s="9" t="inlineStr"/>
    </row>
    <row r="7">
      <c r="A7" s="5" t="n">
        <v>6</v>
      </c>
      <c r="B7" s="6" t="str">
        <f>IFERROR(VLOOKUP($A7,参会名单!$A$2:$K$201,2,FALSE),"")</f>
        <v>郑磊</v>
      </c>
      <c r="C7" s="6" t="str">
        <f>IFERROR(VLOOKUP($A7,参会名单!$A$2:$K$201,3,FALSE),"")</f>
        <v>蓝图网络</v>
      </c>
      <c r="D7" s="7" t="str">
        <f>IFERROR(VLOOKUP($A7,参会名单!$A$2:$K$201,7,FALSE),"")</f>
        <v>VIP</v>
      </c>
      <c r="E7" s="5" t="inlineStr">
        <is>
          <t>已签到</t>
        </is>
      </c>
      <c r="F7" s="8" t="n">
        <v>0.3666666666666666</v>
      </c>
      <c r="G7" s="5" t="inlineStr">
        <is>
          <t>扫码</t>
        </is>
      </c>
      <c r="H7" s="5" t="inlineStr">
        <is>
          <t>是</t>
        </is>
      </c>
      <c r="I7" s="9" t="inlineStr"/>
    </row>
    <row r="8">
      <c r="A8" s="5" t="n">
        <v>7</v>
      </c>
      <c r="B8" s="6" t="str">
        <f>IFERROR(VLOOKUP($A8,参会名单!$A$2:$K$201,2,FALSE),"")</f>
        <v>王文芳</v>
      </c>
      <c r="C8" s="6" t="str">
        <f>IFERROR(VLOOKUP($A8,参会名单!$A$2:$K$201,3,FALSE),"")</f>
        <v>南岭智联</v>
      </c>
      <c r="D8" s="7" t="str">
        <f>IFERROR(VLOOKUP($A8,参会名单!$A$2:$K$201,7,FALSE),"")</f>
        <v>VIP</v>
      </c>
      <c r="E8" s="5" t="inlineStr">
        <is>
          <t>已签到</t>
        </is>
      </c>
      <c r="F8" s="8" t="n">
        <v>0.3381944444444445</v>
      </c>
      <c r="G8" s="5" t="inlineStr">
        <is>
          <t>扫码</t>
        </is>
      </c>
      <c r="H8" s="5" t="inlineStr">
        <is>
          <t>否</t>
        </is>
      </c>
      <c r="I8" s="9" t="inlineStr"/>
    </row>
    <row r="9">
      <c r="A9" s="5" t="n">
        <v>8</v>
      </c>
      <c r="B9" s="6" t="str">
        <f>IFERROR(VLOOKUP($A9,参会名单!$A$2:$K$201,2,FALSE),"")</f>
        <v>潘涵</v>
      </c>
      <c r="C9" s="6" t="str">
        <f>IFERROR(VLOOKUP($A9,参会名单!$A$2:$K$201,3,FALSE),"")</f>
        <v>星瀚科技</v>
      </c>
      <c r="D9" s="7" t="str">
        <f>IFERROR(VLOOKUP($A9,参会名单!$A$2:$K$201,7,FALSE),"")</f>
        <v>VIP</v>
      </c>
      <c r="E9" s="5" t="inlineStr">
        <is>
          <t>已签到</t>
        </is>
      </c>
      <c r="F9" s="8" t="n">
        <v>0.3527777777777778</v>
      </c>
      <c r="G9" s="5" t="inlineStr">
        <is>
          <t>扫码</t>
        </is>
      </c>
      <c r="H9" s="5" t="inlineStr">
        <is>
          <t>是</t>
        </is>
      </c>
      <c r="I9" s="9" t="inlineStr">
        <is>
          <t>媒体嘉宾，需安排采访位</t>
        </is>
      </c>
    </row>
    <row r="10">
      <c r="A10" s="5" t="n">
        <v>9</v>
      </c>
      <c r="B10" s="6" t="str">
        <f>IFERROR(VLOOKUP($A10,参会名单!$A$2:$K$201,2,FALSE),"")</f>
        <v>冯勇宁</v>
      </c>
      <c r="C10" s="6" t="str">
        <f>IFERROR(VLOOKUP($A10,参会名单!$A$2:$K$201,3,FALSE),"")</f>
        <v>天工智能</v>
      </c>
      <c r="D10" s="7" t="str">
        <f>IFERROR(VLOOKUP($A10,参会名单!$A$2:$K$201,7,FALSE),"")</f>
        <v>VIP</v>
      </c>
      <c r="E10" s="5" t="inlineStr">
        <is>
          <t>已签到</t>
        </is>
      </c>
      <c r="F10" s="8" t="n">
        <v>0.3708333333333333</v>
      </c>
      <c r="G10" s="5" t="inlineStr">
        <is>
          <t>扫码</t>
        </is>
      </c>
      <c r="H10" s="5" t="inlineStr">
        <is>
          <t>是</t>
        </is>
      </c>
      <c r="I10" s="9" t="inlineStr"/>
    </row>
    <row r="11">
      <c r="A11" s="5" t="n">
        <v>10</v>
      </c>
      <c r="B11" s="6" t="str">
        <f>IFERROR(VLOOKUP($A11,参会名单!$A$2:$K$201,2,FALSE),"")</f>
        <v>陈超芳</v>
      </c>
      <c r="C11" s="6" t="str">
        <f>IFERROR(VLOOKUP($A11,参会名单!$A$2:$K$201,3,FALSE),"")</f>
        <v>万象云</v>
      </c>
      <c r="D11" s="7" t="str">
        <f>IFERROR(VLOOKUP($A11,参会名单!$A$2:$K$201,7,FALSE),"")</f>
        <v>VIP</v>
      </c>
      <c r="E11" s="5" t="inlineStr">
        <is>
          <t>未签到</t>
        </is>
      </c>
      <c r="F11" s="8" t="n"/>
      <c r="G11" s="5" t="n"/>
      <c r="H11" s="5" t="inlineStr">
        <is>
          <t>否</t>
        </is>
      </c>
      <c r="I11" s="9" t="inlineStr"/>
    </row>
    <row r="12">
      <c r="A12" s="5" t="n">
        <v>11</v>
      </c>
      <c r="B12" s="6" t="str">
        <f>IFERROR(VLOOKUP($A12,参会名单!$A$2:$K$201,2,FALSE),"")</f>
        <v>高欣彤</v>
      </c>
      <c r="C12" s="6" t="str">
        <f>IFERROR(VLOOKUP($A12,参会名单!$A$2:$K$201,3,FALSE),"")</f>
        <v>云栖智能</v>
      </c>
      <c r="D12" s="7" t="str">
        <f>IFERROR(VLOOKUP($A12,参会名单!$A$2:$K$201,7,FALSE),"")</f>
        <v>VIP</v>
      </c>
      <c r="E12" s="5" t="inlineStr">
        <is>
          <t>已签到</t>
        </is>
      </c>
      <c r="F12" s="8" t="n">
        <v>0.3631944444444444</v>
      </c>
      <c r="G12" s="5" t="inlineStr">
        <is>
          <t>扫码</t>
        </is>
      </c>
      <c r="H12" s="5" t="inlineStr">
        <is>
          <t>否</t>
        </is>
      </c>
      <c r="I12" s="9" t="inlineStr"/>
    </row>
    <row r="13">
      <c r="A13" s="5" t="n">
        <v>12</v>
      </c>
      <c r="B13" s="6" t="str">
        <f>IFERROR(VLOOKUP($A13,参会名单!$A$2:$K$201,2,FALSE),"")</f>
        <v>高宇丽</v>
      </c>
      <c r="C13" s="6" t="str">
        <f>IFERROR(VLOOKUP($A13,参会名单!$A$2:$K$201,3,FALSE),"")</f>
        <v>智汇云</v>
      </c>
      <c r="D13" s="7" t="str">
        <f>IFERROR(VLOOKUP($A13,参会名单!$A$2:$K$201,7,FALSE),"")</f>
        <v>VIP</v>
      </c>
      <c r="E13" s="5" t="inlineStr">
        <is>
          <t>已签到</t>
        </is>
      </c>
      <c r="F13" s="8" t="n">
        <v>0.3597222222222222</v>
      </c>
      <c r="G13" s="5" t="inlineStr">
        <is>
          <t>扫码</t>
        </is>
      </c>
      <c r="H13" s="5" t="inlineStr">
        <is>
          <t>是</t>
        </is>
      </c>
      <c r="I13" s="9" t="inlineStr"/>
    </row>
    <row r="14">
      <c r="A14" s="5" t="n">
        <v>13</v>
      </c>
      <c r="B14" s="6" t="str">
        <f>IFERROR(VLOOKUP($A14,参会名单!$A$2:$K$201,2,FALSE),"")</f>
        <v>周军</v>
      </c>
      <c r="C14" s="6" t="str">
        <f>IFERROR(VLOOKUP($A14,参会名单!$A$2:$K$201,3,FALSE),"")</f>
        <v>启元软件</v>
      </c>
      <c r="D14" s="7" t="str">
        <f>IFERROR(VLOOKUP($A14,参会名单!$A$2:$K$201,7,FALSE),"")</f>
        <v>VIP</v>
      </c>
      <c r="E14" s="5" t="inlineStr">
        <is>
          <t>已签到</t>
        </is>
      </c>
      <c r="F14" s="8" t="n">
        <v>0.3590277777777778</v>
      </c>
      <c r="G14" s="5" t="inlineStr">
        <is>
          <t>人脸识别</t>
        </is>
      </c>
      <c r="H14" s="5" t="inlineStr">
        <is>
          <t>是</t>
        </is>
      </c>
      <c r="I14" s="9" t="inlineStr"/>
    </row>
    <row r="15">
      <c r="A15" s="5" t="n">
        <v>14</v>
      </c>
      <c r="B15" s="6" t="str">
        <f>IFERROR(VLOOKUP($A15,参会名单!$A$2:$K$201,2,FALSE),"")</f>
        <v>周娟</v>
      </c>
      <c r="C15" s="6" t="str">
        <f>IFERROR(VLOOKUP($A15,参会名单!$A$2:$K$201,3,FALSE),"")</f>
        <v>星瀚科技</v>
      </c>
      <c r="D15" s="7" t="str">
        <f>IFERROR(VLOOKUP($A15,参会名单!$A$2:$K$201,7,FALSE),"")</f>
        <v>VIP</v>
      </c>
      <c r="E15" s="5" t="inlineStr">
        <is>
          <t>已签到</t>
        </is>
      </c>
      <c r="F15" s="8" t="n">
        <v>0.3680555555555556</v>
      </c>
      <c r="G15" s="5" t="inlineStr">
        <is>
          <t>人脸识别</t>
        </is>
      </c>
      <c r="H15" s="5" t="inlineStr">
        <is>
          <t>是</t>
        </is>
      </c>
      <c r="I15" s="9" t="inlineStr"/>
    </row>
    <row r="16">
      <c r="A16" s="5" t="n">
        <v>15</v>
      </c>
      <c r="B16" s="6" t="str">
        <f>IFERROR(VLOOKUP($A16,参会名单!$A$2:$K$201,2,FALSE),"")</f>
        <v>唐宇泽</v>
      </c>
      <c r="C16" s="6" t="str">
        <f>IFERROR(VLOOKUP($A16,参会名单!$A$2:$K$201,3,FALSE),"")</f>
        <v>智汇云</v>
      </c>
      <c r="D16" s="7" t="str">
        <f>IFERROR(VLOOKUP($A16,参会名单!$A$2:$K$201,7,FALSE),"")</f>
        <v>VIP</v>
      </c>
      <c r="E16" s="5" t="inlineStr">
        <is>
          <t>已签到</t>
        </is>
      </c>
      <c r="F16" s="8" t="n">
        <v>0.3625</v>
      </c>
      <c r="G16" s="5" t="inlineStr">
        <is>
          <t>扫码</t>
        </is>
      </c>
      <c r="H16" s="5" t="inlineStr">
        <is>
          <t>是</t>
        </is>
      </c>
      <c r="I16" s="9" t="inlineStr"/>
    </row>
    <row r="17">
      <c r="A17" s="5" t="n">
        <v>16</v>
      </c>
      <c r="B17" s="6" t="str">
        <f>IFERROR(VLOOKUP($A17,参会名单!$A$2:$K$201,2,FALSE),"")</f>
        <v>何彤秀</v>
      </c>
      <c r="C17" s="6" t="str">
        <f>IFERROR(VLOOKUP($A17,参会名单!$A$2:$K$201,3,FALSE),"")</f>
        <v>极光数据</v>
      </c>
      <c r="D17" s="7" t="str">
        <f>IFERROR(VLOOKUP($A17,参会名单!$A$2:$K$201,7,FALSE),"")</f>
        <v>VIP</v>
      </c>
      <c r="E17" s="5" t="inlineStr">
        <is>
          <t>未签到</t>
        </is>
      </c>
      <c r="F17" s="8" t="n"/>
      <c r="G17" s="5" t="n"/>
      <c r="H17" s="5" t="inlineStr">
        <is>
          <t>否</t>
        </is>
      </c>
      <c r="I17" s="9" t="inlineStr"/>
    </row>
    <row r="18">
      <c r="A18" s="5" t="n">
        <v>17</v>
      </c>
      <c r="B18" s="6" t="str">
        <f>IFERROR(VLOOKUP($A18,参会名单!$A$2:$K$201,2,FALSE),"")</f>
        <v>林睿</v>
      </c>
      <c r="C18" s="6" t="str">
        <f>IFERROR(VLOOKUP($A18,参会名单!$A$2:$K$201,3,FALSE),"")</f>
        <v>云栖智能</v>
      </c>
      <c r="D18" s="7" t="str">
        <f>IFERROR(VLOOKUP($A18,参会名单!$A$2:$K$201,7,FALSE),"")</f>
        <v>VIP</v>
      </c>
      <c r="E18" s="5" t="inlineStr">
        <is>
          <t>已签到</t>
        </is>
      </c>
      <c r="F18" s="8" t="n">
        <v>0.3618055555555555</v>
      </c>
      <c r="G18" s="5" t="inlineStr">
        <is>
          <t>前台登记</t>
        </is>
      </c>
      <c r="H18" s="5" t="inlineStr">
        <is>
          <t>是</t>
        </is>
      </c>
      <c r="I18" s="9" t="inlineStr"/>
    </row>
    <row r="19">
      <c r="A19" s="5" t="n">
        <v>18</v>
      </c>
      <c r="B19" s="6" t="str">
        <f>IFERROR(VLOOKUP($A19,参会名单!$A$2:$K$201,2,FALSE),"")</f>
        <v>黄涵军</v>
      </c>
      <c r="C19" s="6" t="str">
        <f>IFERROR(VLOOKUP($A19,参会名单!$A$2:$K$201,3,FALSE),"")</f>
        <v>万象云</v>
      </c>
      <c r="D19" s="7" t="str">
        <f>IFERROR(VLOOKUP($A19,参会名单!$A$2:$K$201,7,FALSE),"")</f>
        <v>VIP</v>
      </c>
      <c r="E19" s="5" t="inlineStr">
        <is>
          <t>已签到</t>
        </is>
      </c>
      <c r="F19" s="8" t="n">
        <v>0.3375</v>
      </c>
      <c r="G19" s="5" t="inlineStr">
        <is>
          <t>扫码</t>
        </is>
      </c>
      <c r="H19" s="5" t="inlineStr">
        <is>
          <t>是</t>
        </is>
      </c>
      <c r="I19" s="9" t="inlineStr"/>
    </row>
    <row r="20">
      <c r="A20" s="5" t="n">
        <v>19</v>
      </c>
      <c r="B20" s="6" t="str">
        <f>IFERROR(VLOOKUP($A20,参会名单!$A$2:$K$201,2,FALSE),"")</f>
        <v>王博</v>
      </c>
      <c r="C20" s="6" t="str">
        <f>IFERROR(VLOOKUP($A20,参会名单!$A$2:$K$201,3,FALSE),"")</f>
        <v>智汇云</v>
      </c>
      <c r="D20" s="7" t="str">
        <f>IFERROR(VLOOKUP($A20,参会名单!$A$2:$K$201,7,FALSE),"")</f>
        <v>VIP</v>
      </c>
      <c r="E20" s="5" t="inlineStr">
        <is>
          <t>已签到</t>
        </is>
      </c>
      <c r="F20" s="8" t="n">
        <v>0.3416666666666667</v>
      </c>
      <c r="G20" s="5" t="inlineStr">
        <is>
          <t>扫码</t>
        </is>
      </c>
      <c r="H20" s="5" t="inlineStr">
        <is>
          <t>是</t>
        </is>
      </c>
      <c r="I20" s="9" t="inlineStr"/>
    </row>
    <row r="21">
      <c r="A21" s="5" t="n">
        <v>20</v>
      </c>
      <c r="B21" s="6" t="str">
        <f>IFERROR(VLOOKUP($A21,参会名单!$A$2:$K$201,2,FALSE),"")</f>
        <v>孙涛磊</v>
      </c>
      <c r="C21" s="6" t="str">
        <f>IFERROR(VLOOKUP($A21,参会名单!$A$2:$K$201,3,FALSE),"")</f>
        <v>万象云</v>
      </c>
      <c r="D21" s="7" t="str">
        <f>IFERROR(VLOOKUP($A21,参会名单!$A$2:$K$201,7,FALSE),"")</f>
        <v>VIP</v>
      </c>
      <c r="E21" s="5" t="inlineStr">
        <is>
          <t>请假</t>
        </is>
      </c>
      <c r="F21" s="8" t="n"/>
      <c r="G21" s="5" t="n"/>
      <c r="H21" s="5" t="inlineStr">
        <is>
          <t>否</t>
        </is>
      </c>
      <c r="I21" s="9" t="inlineStr"/>
    </row>
    <row r="22">
      <c r="A22" s="5" t="n">
        <v>21</v>
      </c>
      <c r="B22" s="6" t="str">
        <f>IFERROR(VLOOKUP($A22,参会名单!$A$2:$K$201,2,FALSE),"")</f>
        <v>蒋伟</v>
      </c>
      <c r="C22" s="6" t="str">
        <f>IFERROR(VLOOKUP($A22,参会名单!$A$2:$K$201,3,FALSE),"")</f>
        <v>极光数据</v>
      </c>
      <c r="D22" s="7" t="str">
        <f>IFERROR(VLOOKUP($A22,参会名单!$A$2:$K$201,7,FALSE),"")</f>
        <v>VIP</v>
      </c>
      <c r="E22" s="5" t="inlineStr">
        <is>
          <t>已签到</t>
        </is>
      </c>
      <c r="F22" s="8" t="n">
        <v>0.3708333333333333</v>
      </c>
      <c r="G22" s="5" t="inlineStr">
        <is>
          <t>扫码</t>
        </is>
      </c>
      <c r="H22" s="5" t="inlineStr">
        <is>
          <t>是</t>
        </is>
      </c>
      <c r="I22" s="9" t="inlineStr"/>
    </row>
    <row r="23">
      <c r="A23" s="5" t="n">
        <v>22</v>
      </c>
      <c r="B23" s="6" t="str">
        <f>IFERROR(VLOOKUP($A23,参会名单!$A$2:$K$201,2,FALSE),"")</f>
        <v>林勇</v>
      </c>
      <c r="C23" s="6" t="str">
        <f>IFERROR(VLOOKUP($A23,参会名单!$A$2:$K$201,3,FALSE),"")</f>
        <v>领航智造</v>
      </c>
      <c r="D23" s="7" t="str">
        <f>IFERROR(VLOOKUP($A23,参会名单!$A$2:$K$201,7,FALSE),"")</f>
        <v>VIP</v>
      </c>
      <c r="E23" s="5" t="inlineStr">
        <is>
          <t>已签到</t>
        </is>
      </c>
      <c r="F23" s="8" t="n">
        <v>0.3569444444444445</v>
      </c>
      <c r="G23" s="5" t="inlineStr">
        <is>
          <t>扫码</t>
        </is>
      </c>
      <c r="H23" s="5" t="inlineStr">
        <is>
          <t>是</t>
        </is>
      </c>
      <c r="I23" s="9" t="inlineStr"/>
    </row>
    <row r="24">
      <c r="A24" s="5" t="n">
        <v>23</v>
      </c>
      <c r="B24" s="6" t="str">
        <f>IFERROR(VLOOKUP($A24,参会名单!$A$2:$K$201,2,FALSE),"")</f>
        <v>唐泽</v>
      </c>
      <c r="C24" s="6" t="str">
        <f>IFERROR(VLOOKUP($A24,参会名单!$A$2:$K$201,3,FALSE),"")</f>
        <v>蓝图网络</v>
      </c>
      <c r="D24" s="7" t="str">
        <f>IFERROR(VLOOKUP($A24,参会名单!$A$2:$K$201,7,FALSE),"")</f>
        <v>VIP</v>
      </c>
      <c r="E24" s="5" t="inlineStr">
        <is>
          <t>已签到</t>
        </is>
      </c>
      <c r="F24" s="8" t="n">
        <v>0.3569444444444445</v>
      </c>
      <c r="G24" s="5" t="inlineStr">
        <is>
          <t>扫码</t>
        </is>
      </c>
      <c r="H24" s="5" t="inlineStr">
        <is>
          <t>是</t>
        </is>
      </c>
      <c r="I24" s="9" t="inlineStr"/>
    </row>
    <row r="25">
      <c r="A25" s="5" t="n">
        <v>24</v>
      </c>
      <c r="B25" s="6" t="str">
        <f>IFERROR(VLOOKUP($A25,参会名单!$A$2:$K$201,2,FALSE),"")</f>
        <v>郭芳平</v>
      </c>
      <c r="C25" s="6" t="str">
        <f>IFERROR(VLOOKUP($A25,参会名单!$A$2:$K$201,3,FALSE),"")</f>
        <v>深蓝计算</v>
      </c>
      <c r="D25" s="7" t="str">
        <f>IFERROR(VLOOKUP($A25,参会名单!$A$2:$K$201,7,FALSE),"")</f>
        <v>VIP</v>
      </c>
      <c r="E25" s="5" t="inlineStr">
        <is>
          <t>已签到</t>
        </is>
      </c>
      <c r="F25" s="8" t="n">
        <v>0.35</v>
      </c>
      <c r="G25" s="5" t="inlineStr">
        <is>
          <t>扫码</t>
        </is>
      </c>
      <c r="H25" s="5" t="inlineStr">
        <is>
          <t>是</t>
        </is>
      </c>
      <c r="I25" s="9" t="inlineStr"/>
    </row>
    <row r="26">
      <c r="A26" s="5" t="n">
        <v>25</v>
      </c>
      <c r="B26" s="6" t="str">
        <f>IFERROR(VLOOKUP($A26,参会名单!$A$2:$K$201,2,FALSE),"")</f>
        <v>谢琪娟</v>
      </c>
      <c r="C26" s="6" t="str">
        <f>IFERROR(VLOOKUP($A26,参会名单!$A$2:$K$201,3,FALSE),"")</f>
        <v>星瀚科技</v>
      </c>
      <c r="D26" s="7" t="str">
        <f>IFERROR(VLOOKUP($A26,参会名单!$A$2:$K$201,7,FALSE),"")</f>
        <v>VIP</v>
      </c>
      <c r="E26" s="5" t="inlineStr">
        <is>
          <t>已签到</t>
        </is>
      </c>
      <c r="F26" s="8" t="n">
        <v>0.35</v>
      </c>
      <c r="G26" s="5" t="inlineStr">
        <is>
          <t>人脸识别</t>
        </is>
      </c>
      <c r="H26" s="5" t="inlineStr">
        <is>
          <t>是</t>
        </is>
      </c>
      <c r="I26" s="9" t="inlineStr"/>
    </row>
    <row r="27">
      <c r="A27" s="5" t="n">
        <v>26</v>
      </c>
      <c r="B27" s="6" t="str">
        <f>IFERROR(VLOOKUP($A27,参会名单!$A$2:$K$201,2,FALSE),"")</f>
        <v>董超</v>
      </c>
      <c r="C27" s="6" t="str">
        <f>IFERROR(VLOOKUP($A27,参会名单!$A$2:$K$201,3,FALSE),"")</f>
        <v>云栖智能</v>
      </c>
      <c r="D27" s="7" t="str">
        <f>IFERROR(VLOOKUP($A27,参会名单!$A$2:$K$201,7,FALSE),"")</f>
        <v>VIP</v>
      </c>
      <c r="E27" s="5" t="inlineStr">
        <is>
          <t>已签到</t>
        </is>
      </c>
      <c r="F27" s="8" t="n">
        <v>0.3347222222222222</v>
      </c>
      <c r="G27" s="5" t="inlineStr">
        <is>
          <t>人脸识别</t>
        </is>
      </c>
      <c r="H27" s="5" t="inlineStr">
        <is>
          <t>是</t>
        </is>
      </c>
      <c r="I27" s="9" t="inlineStr"/>
    </row>
    <row r="28">
      <c r="A28" s="5" t="n">
        <v>27</v>
      </c>
      <c r="B28" s="6" t="str">
        <f>IFERROR(VLOOKUP($A28,参会名单!$A$2:$K$201,2,FALSE),"")</f>
        <v>黄洋</v>
      </c>
      <c r="C28" s="6" t="str">
        <f>IFERROR(VLOOKUP($A28,参会名单!$A$2:$K$201,3,FALSE),"")</f>
        <v>智汇云</v>
      </c>
      <c r="D28" s="7" t="str">
        <f>IFERROR(VLOOKUP($A28,参会名单!$A$2:$K$201,7,FALSE),"")</f>
        <v>VIP</v>
      </c>
      <c r="E28" s="5" t="inlineStr">
        <is>
          <t>已签到</t>
        </is>
      </c>
      <c r="F28" s="8" t="n">
        <v>0.3548611111111111</v>
      </c>
      <c r="G28" s="5" t="inlineStr">
        <is>
          <t>扫码</t>
        </is>
      </c>
      <c r="H28" s="5" t="inlineStr">
        <is>
          <t>是</t>
        </is>
      </c>
      <c r="I28" s="9" t="inlineStr"/>
    </row>
    <row r="29">
      <c r="A29" s="5" t="n">
        <v>28</v>
      </c>
      <c r="B29" s="6" t="str">
        <f>IFERROR(VLOOKUP($A29,参会名单!$A$2:$K$201,2,FALSE),"")</f>
        <v>冯嘉杰</v>
      </c>
      <c r="C29" s="6" t="str">
        <f>IFERROR(VLOOKUP($A29,参会名单!$A$2:$K$201,3,FALSE),"")</f>
        <v>智汇云</v>
      </c>
      <c r="D29" s="7" t="str">
        <f>IFERROR(VLOOKUP($A29,参会名单!$A$2:$K$201,7,FALSE),"")</f>
        <v>VIP</v>
      </c>
      <c r="E29" s="5" t="inlineStr">
        <is>
          <t>已签到</t>
        </is>
      </c>
      <c r="F29" s="8" t="n">
        <v>0.3680555555555556</v>
      </c>
      <c r="G29" s="5" t="inlineStr">
        <is>
          <t>扫码</t>
        </is>
      </c>
      <c r="H29" s="5" t="inlineStr">
        <is>
          <t>是</t>
        </is>
      </c>
      <c r="I29" s="9" t="inlineStr"/>
    </row>
    <row r="30">
      <c r="A30" s="5" t="n">
        <v>29</v>
      </c>
      <c r="B30" s="6" t="str">
        <f>IFERROR(VLOOKUP($A30,参会名单!$A$2:$K$201,2,FALSE),"")</f>
        <v>赵洋泽</v>
      </c>
      <c r="C30" s="6" t="str">
        <f>IFERROR(VLOOKUP($A30,参会名单!$A$2:$K$201,3,FALSE),"")</f>
        <v>星瀚科技</v>
      </c>
      <c r="D30" s="7" t="str">
        <f>IFERROR(VLOOKUP($A30,参会名单!$A$2:$K$201,7,FALSE),"")</f>
        <v>VIP</v>
      </c>
      <c r="E30" s="5" t="inlineStr">
        <is>
          <t>已签到</t>
        </is>
      </c>
      <c r="F30" s="8" t="n">
        <v>0.3458333333333333</v>
      </c>
      <c r="G30" s="5" t="inlineStr">
        <is>
          <t>扫码</t>
        </is>
      </c>
      <c r="H30" s="5" t="inlineStr">
        <is>
          <t>否</t>
        </is>
      </c>
      <c r="I30" s="9" t="inlineStr"/>
    </row>
    <row r="31">
      <c r="A31" s="5" t="n">
        <v>30</v>
      </c>
      <c r="B31" s="6" t="str">
        <f>IFERROR(VLOOKUP($A31,参会名单!$A$2:$K$201,2,FALSE),"")</f>
        <v>吴磊</v>
      </c>
      <c r="C31" s="6" t="str">
        <f>IFERROR(VLOOKUP($A31,参会名单!$A$2:$K$201,3,FALSE),"")</f>
        <v>天工智能</v>
      </c>
      <c r="D31" s="7" t="str">
        <f>IFERROR(VLOOKUP($A31,参会名单!$A$2:$K$201,7,FALSE),"")</f>
        <v>VIP</v>
      </c>
      <c r="E31" s="5" t="inlineStr">
        <is>
          <t>已签到</t>
        </is>
      </c>
      <c r="F31" s="8" t="n">
        <v>0.3694444444444445</v>
      </c>
      <c r="G31" s="5" t="inlineStr">
        <is>
          <t>人脸识别</t>
        </is>
      </c>
      <c r="H31" s="5" t="inlineStr">
        <is>
          <t>否</t>
        </is>
      </c>
      <c r="I31" s="9" t="inlineStr"/>
    </row>
    <row r="32">
      <c r="A32" s="5" t="n">
        <v>31</v>
      </c>
      <c r="B32" s="6" t="str">
        <f>IFERROR(VLOOKUP($A32,参会名单!$A$2:$K$201,2,FALSE),"")</f>
        <v>郑明</v>
      </c>
      <c r="C32" s="6" t="str">
        <f>IFERROR(VLOOKUP($A32,参会名单!$A$2:$K$201,3,FALSE),"")</f>
        <v>领航智造</v>
      </c>
      <c r="D32" s="7" t="str">
        <f>IFERROR(VLOOKUP($A32,参会名单!$A$2:$K$201,7,FALSE),"")</f>
        <v>标准</v>
      </c>
      <c r="E32" s="5" t="inlineStr">
        <is>
          <t>已签到</t>
        </is>
      </c>
      <c r="F32" s="8" t="n">
        <v>0.40625</v>
      </c>
      <c r="G32" s="5" t="inlineStr">
        <is>
          <t>扫码</t>
        </is>
      </c>
      <c r="H32" s="5" t="inlineStr">
        <is>
          <t>是</t>
        </is>
      </c>
      <c r="I32" s="9" t="inlineStr"/>
    </row>
    <row r="33">
      <c r="A33" s="5" t="n">
        <v>32</v>
      </c>
      <c r="B33" s="6" t="str">
        <f>IFERROR(VLOOKUP($A33,参会名单!$A$2:$K$201,2,FALSE),"")</f>
        <v>梁艳伟</v>
      </c>
      <c r="C33" s="6" t="str">
        <f>IFERROR(VLOOKUP($A33,参会名单!$A$2:$K$201,3,FALSE),"")</f>
        <v>蜂巢科技</v>
      </c>
      <c r="D33" s="7" t="str">
        <f>IFERROR(VLOOKUP($A33,参会名单!$A$2:$K$201,7,FALSE),"")</f>
        <v>标准</v>
      </c>
      <c r="E33" s="5" t="inlineStr">
        <is>
          <t>已签到</t>
        </is>
      </c>
      <c r="F33" s="8" t="n">
        <v>0.3430555555555556</v>
      </c>
      <c r="G33" s="5" t="inlineStr">
        <is>
          <t>扫码</t>
        </is>
      </c>
      <c r="H33" s="5" t="inlineStr">
        <is>
          <t>是</t>
        </is>
      </c>
      <c r="I33" s="9" t="inlineStr"/>
    </row>
    <row r="34">
      <c r="A34" s="5" t="n">
        <v>33</v>
      </c>
      <c r="B34" s="6" t="str">
        <f>IFERROR(VLOOKUP($A34,参会名单!$A$2:$K$201,2,FALSE),"")</f>
        <v>周宇</v>
      </c>
      <c r="C34" s="6" t="str">
        <f>IFERROR(VLOOKUP($A34,参会名单!$A$2:$K$201,3,FALSE),"")</f>
        <v>光合数字</v>
      </c>
      <c r="D34" s="7" t="str">
        <f>IFERROR(VLOOKUP($A34,参会名单!$A$2:$K$201,7,FALSE),"")</f>
        <v>标准</v>
      </c>
      <c r="E34" s="5" t="inlineStr">
        <is>
          <t>已签到</t>
        </is>
      </c>
      <c r="F34" s="8" t="n">
        <v>0.3395833333333333</v>
      </c>
      <c r="G34" s="5" t="inlineStr">
        <is>
          <t>人脸识别</t>
        </is>
      </c>
      <c r="H34" s="5" t="inlineStr">
        <is>
          <t>是</t>
        </is>
      </c>
      <c r="I34" s="9" t="inlineStr"/>
    </row>
    <row r="35">
      <c r="A35" s="5" t="n">
        <v>34</v>
      </c>
      <c r="B35" s="6" t="str">
        <f>IFERROR(VLOOKUP($A35,参会名单!$A$2:$K$201,2,FALSE),"")</f>
        <v>徐敏文</v>
      </c>
      <c r="C35" s="6" t="str">
        <f>IFERROR(VLOOKUP($A35,参会名单!$A$2:$K$201,3,FALSE),"")</f>
        <v>云栖智能</v>
      </c>
      <c r="D35" s="7" t="str">
        <f>IFERROR(VLOOKUP($A35,参会名单!$A$2:$K$201,7,FALSE),"")</f>
        <v>标准</v>
      </c>
      <c r="E35" s="5" t="inlineStr">
        <is>
          <t>已签到</t>
        </is>
      </c>
      <c r="F35" s="8" t="n">
        <v>0.3868055555555556</v>
      </c>
      <c r="G35" s="5" t="inlineStr">
        <is>
          <t>人脸识别</t>
        </is>
      </c>
      <c r="H35" s="5" t="inlineStr">
        <is>
          <t>是</t>
        </is>
      </c>
      <c r="I35" s="9" t="inlineStr"/>
    </row>
    <row r="36">
      <c r="A36" s="5" t="n">
        <v>35</v>
      </c>
      <c r="B36" s="6" t="str">
        <f>IFERROR(VLOOKUP($A36,参会名单!$A$2:$K$201,2,FALSE),"")</f>
        <v>潘涵杰</v>
      </c>
      <c r="C36" s="6" t="str">
        <f>IFERROR(VLOOKUP($A36,参会名单!$A$2:$K$201,3,FALSE),"")</f>
        <v>极光数据</v>
      </c>
      <c r="D36" s="7" t="str">
        <f>IFERROR(VLOOKUP($A36,参会名单!$A$2:$K$201,7,FALSE),"")</f>
        <v>标准</v>
      </c>
      <c r="E36" s="5" t="inlineStr">
        <is>
          <t>请假</t>
        </is>
      </c>
      <c r="F36" s="8" t="n"/>
      <c r="G36" s="5" t="n"/>
      <c r="H36" s="5" t="inlineStr">
        <is>
          <t>否</t>
        </is>
      </c>
      <c r="I36" s="9" t="inlineStr"/>
    </row>
    <row r="37">
      <c r="A37" s="5" t="n">
        <v>36</v>
      </c>
      <c r="B37" s="6" t="str">
        <f>IFERROR(VLOOKUP($A37,参会名单!$A$2:$K$201,2,FALSE),"")</f>
        <v>刘涵</v>
      </c>
      <c r="C37" s="6" t="str">
        <f>IFERROR(VLOOKUP($A37,参会名单!$A$2:$K$201,3,FALSE),"")</f>
        <v>云栖智能</v>
      </c>
      <c r="D37" s="7" t="str">
        <f>IFERROR(VLOOKUP($A37,参会名单!$A$2:$K$201,7,FALSE),"")</f>
        <v>标准</v>
      </c>
      <c r="E37" s="5" t="inlineStr">
        <is>
          <t>已签到</t>
        </is>
      </c>
      <c r="F37" s="8" t="n">
        <v>0.3694444444444445</v>
      </c>
      <c r="G37" s="5" t="inlineStr">
        <is>
          <t>扫码</t>
        </is>
      </c>
      <c r="H37" s="5" t="inlineStr">
        <is>
          <t>是</t>
        </is>
      </c>
      <c r="I37" s="9" t="inlineStr"/>
    </row>
    <row r="38">
      <c r="A38" s="5" t="n">
        <v>37</v>
      </c>
      <c r="B38" s="6" t="str">
        <f>IFERROR(VLOOKUP($A38,参会名单!$A$2:$K$201,2,FALSE),"")</f>
        <v>张彤</v>
      </c>
      <c r="C38" s="6" t="str">
        <f>IFERROR(VLOOKUP($A38,参会名单!$A$2:$K$201,3,FALSE),"")</f>
        <v>星瀚科技</v>
      </c>
      <c r="D38" s="7" t="str">
        <f>IFERROR(VLOOKUP($A38,参会名单!$A$2:$K$201,7,FALSE),"")</f>
        <v>标准</v>
      </c>
      <c r="E38" s="5" t="inlineStr">
        <is>
          <t>已签到</t>
        </is>
      </c>
      <c r="F38" s="8" t="n">
        <v>0.3826388888888889</v>
      </c>
      <c r="G38" s="5" t="inlineStr">
        <is>
          <t>扫码</t>
        </is>
      </c>
      <c r="H38" s="5" t="inlineStr">
        <is>
          <t>是</t>
        </is>
      </c>
      <c r="I38" s="9" t="inlineStr"/>
    </row>
    <row r="39">
      <c r="A39" s="5" t="n">
        <v>38</v>
      </c>
      <c r="B39" s="6" t="str">
        <f>IFERROR(VLOOKUP($A39,参会名单!$A$2:$K$201,2,FALSE),"")</f>
        <v>林勇明</v>
      </c>
      <c r="C39" s="6" t="str">
        <f>IFERROR(VLOOKUP($A39,参会名单!$A$2:$K$201,3,FALSE),"")</f>
        <v>智汇云</v>
      </c>
      <c r="D39" s="7" t="str">
        <f>IFERROR(VLOOKUP($A39,参会名单!$A$2:$K$201,7,FALSE),"")</f>
        <v>标准</v>
      </c>
      <c r="E39" s="5" t="inlineStr">
        <is>
          <t>已签到</t>
        </is>
      </c>
      <c r="F39" s="8" t="n">
        <v>0.4048611111111111</v>
      </c>
      <c r="G39" s="5" t="inlineStr">
        <is>
          <t>人脸识别</t>
        </is>
      </c>
      <c r="H39" s="5" t="inlineStr">
        <is>
          <t>是</t>
        </is>
      </c>
      <c r="I39" s="9" t="inlineStr"/>
    </row>
    <row r="40">
      <c r="A40" s="5" t="n">
        <v>39</v>
      </c>
      <c r="B40" s="6" t="str">
        <f>IFERROR(VLOOKUP($A40,参会名单!$A$2:$K$201,2,FALSE),"")</f>
        <v>唐艳浩</v>
      </c>
      <c r="C40" s="6" t="str">
        <f>IFERROR(VLOOKUP($A40,参会名单!$A$2:$K$201,3,FALSE),"")</f>
        <v>星环动力</v>
      </c>
      <c r="D40" s="7" t="str">
        <f>IFERROR(VLOOKUP($A40,参会名单!$A$2:$K$201,7,FALSE),"")</f>
        <v>标准</v>
      </c>
      <c r="E40" s="5" t="inlineStr">
        <is>
          <t>已签到</t>
        </is>
      </c>
      <c r="F40" s="8" t="n">
        <v>0.3395833333333333</v>
      </c>
      <c r="G40" s="5" t="inlineStr">
        <is>
          <t>前台登记</t>
        </is>
      </c>
      <c r="H40" s="5" t="inlineStr">
        <is>
          <t>是</t>
        </is>
      </c>
      <c r="I40" s="9" t="inlineStr"/>
    </row>
    <row r="41">
      <c r="A41" s="5" t="n">
        <v>40</v>
      </c>
      <c r="B41" s="6" t="str">
        <f>IFERROR(VLOOKUP($A41,参会名单!$A$2:$K$201,2,FALSE),"")</f>
        <v>马静娟</v>
      </c>
      <c r="C41" s="6" t="str">
        <f>IFERROR(VLOOKUP($A41,参会名单!$A$2:$K$201,3,FALSE),"")</f>
        <v>星瀚科技</v>
      </c>
      <c r="D41" s="7" t="str">
        <f>IFERROR(VLOOKUP($A41,参会名单!$A$2:$K$201,7,FALSE),"")</f>
        <v>标准</v>
      </c>
      <c r="E41" s="5" t="inlineStr">
        <is>
          <t>已签到</t>
        </is>
      </c>
      <c r="F41" s="8" t="n">
        <v>0.3541666666666667</v>
      </c>
      <c r="G41" s="5" t="inlineStr">
        <is>
          <t>人脸识别</t>
        </is>
      </c>
      <c r="H41" s="5" t="inlineStr">
        <is>
          <t>是</t>
        </is>
      </c>
      <c r="I41" s="9" t="inlineStr"/>
    </row>
    <row r="42">
      <c r="A42" s="5" t="n">
        <v>41</v>
      </c>
      <c r="B42" s="6" t="str">
        <f>IFERROR(VLOOKUP($A42,参会名单!$A$2:$K$201,2,FALSE),"")</f>
        <v>徐平</v>
      </c>
      <c r="C42" s="6" t="str">
        <f>IFERROR(VLOOKUP($A42,参会名单!$A$2:$K$201,3,FALSE),"")</f>
        <v>蓝图网络</v>
      </c>
      <c r="D42" s="7" t="str">
        <f>IFERROR(VLOOKUP($A42,参会名单!$A$2:$K$201,7,FALSE),"")</f>
        <v>标准</v>
      </c>
      <c r="E42" s="5" t="inlineStr">
        <is>
          <t>已签到</t>
        </is>
      </c>
      <c r="F42" s="8" t="n">
        <v>0.3583333333333333</v>
      </c>
      <c r="G42" s="5" t="inlineStr">
        <is>
          <t>扫码</t>
        </is>
      </c>
      <c r="H42" s="5" t="inlineStr">
        <is>
          <t>是</t>
        </is>
      </c>
      <c r="I42" s="9" t="inlineStr"/>
    </row>
    <row r="43">
      <c r="A43" s="5" t="n">
        <v>42</v>
      </c>
      <c r="B43" s="6" t="str">
        <f>IFERROR(VLOOKUP($A43,参会名单!$A$2:$K$201,2,FALSE),"")</f>
        <v>宋浩杰</v>
      </c>
      <c r="C43" s="6" t="str">
        <f>IFERROR(VLOOKUP($A43,参会名单!$A$2:$K$201,3,FALSE),"")</f>
        <v>领航智造</v>
      </c>
      <c r="D43" s="7" t="str">
        <f>IFERROR(VLOOKUP($A43,参会名单!$A$2:$K$201,7,FALSE),"")</f>
        <v>标准</v>
      </c>
      <c r="E43" s="5" t="inlineStr">
        <is>
          <t>已签到</t>
        </is>
      </c>
      <c r="F43" s="8" t="n">
        <v>0.3659722222222222</v>
      </c>
      <c r="G43" s="5" t="inlineStr">
        <is>
          <t>扫码</t>
        </is>
      </c>
      <c r="H43" s="5" t="inlineStr">
        <is>
          <t>是</t>
        </is>
      </c>
      <c r="I43" s="9" t="inlineStr"/>
    </row>
    <row r="44">
      <c r="A44" s="5" t="n">
        <v>43</v>
      </c>
      <c r="B44" s="6" t="str">
        <f>IFERROR(VLOOKUP($A44,参会名单!$A$2:$K$201,2,FALSE),"")</f>
        <v>吴艳</v>
      </c>
      <c r="C44" s="6" t="str">
        <f>IFERROR(VLOOKUP($A44,参会名单!$A$2:$K$201,3,FALSE),"")</f>
        <v>云栖智能</v>
      </c>
      <c r="D44" s="7" t="str">
        <f>IFERROR(VLOOKUP($A44,参会名单!$A$2:$K$201,7,FALSE),"")</f>
        <v>标准</v>
      </c>
      <c r="E44" s="5" t="inlineStr">
        <is>
          <t>已签到</t>
        </is>
      </c>
      <c r="F44" s="8" t="n">
        <v>0.3736111111111111</v>
      </c>
      <c r="G44" s="5" t="inlineStr">
        <is>
          <t>扫码</t>
        </is>
      </c>
      <c r="H44" s="5" t="inlineStr">
        <is>
          <t>是</t>
        </is>
      </c>
      <c r="I44" s="9" t="inlineStr"/>
    </row>
    <row r="45">
      <c r="A45" s="5" t="n">
        <v>44</v>
      </c>
      <c r="B45" s="6" t="str">
        <f>IFERROR(VLOOKUP($A45,参会名单!$A$2:$K$201,2,FALSE),"")</f>
        <v>刘娟</v>
      </c>
      <c r="C45" s="6" t="str">
        <f>IFERROR(VLOOKUP($A45,参会名单!$A$2:$K$201,3,FALSE),"")</f>
        <v>蜂巢科技</v>
      </c>
      <c r="D45" s="7" t="str">
        <f>IFERROR(VLOOKUP($A45,参会名单!$A$2:$K$201,7,FALSE),"")</f>
        <v>标准</v>
      </c>
      <c r="E45" s="5" t="inlineStr">
        <is>
          <t>已签到</t>
        </is>
      </c>
      <c r="F45" s="8" t="n">
        <v>0.3555555555555556</v>
      </c>
      <c r="G45" s="5" t="inlineStr">
        <is>
          <t>前台登记</t>
        </is>
      </c>
      <c r="H45" s="5" t="inlineStr">
        <is>
          <t>是</t>
        </is>
      </c>
      <c r="I45" s="9" t="inlineStr"/>
    </row>
    <row r="46">
      <c r="A46" s="5" t="n">
        <v>45</v>
      </c>
      <c r="B46" s="6" t="str">
        <f>IFERROR(VLOOKUP($A46,参会名单!$A$2:$K$201,2,FALSE),"")</f>
        <v>郭泽伟</v>
      </c>
      <c r="C46" s="6" t="str">
        <f>IFERROR(VLOOKUP($A46,参会名单!$A$2:$K$201,3,FALSE),"")</f>
        <v>星瀚科技</v>
      </c>
      <c r="D46" s="7" t="str">
        <f>IFERROR(VLOOKUP($A46,参会名单!$A$2:$K$201,7,FALSE),"")</f>
        <v>标准</v>
      </c>
      <c r="E46" s="5" t="inlineStr">
        <is>
          <t>已签到</t>
        </is>
      </c>
      <c r="F46" s="8" t="n">
        <v>0.4020833333333333</v>
      </c>
      <c r="G46" s="5" t="inlineStr">
        <is>
          <t>扫码</t>
        </is>
      </c>
      <c r="H46" s="5" t="inlineStr">
        <is>
          <t>是</t>
        </is>
      </c>
      <c r="I46" s="9" t="inlineStr"/>
    </row>
    <row r="47">
      <c r="A47" s="5" t="n">
        <v>46</v>
      </c>
      <c r="B47" s="6" t="str">
        <f>IFERROR(VLOOKUP($A47,参会名单!$A$2:$K$201,2,FALSE),"")</f>
        <v>周文宁</v>
      </c>
      <c r="C47" s="6" t="str">
        <f>IFERROR(VLOOKUP($A47,参会名单!$A$2:$K$201,3,FALSE),"")</f>
        <v>灵犀科技</v>
      </c>
      <c r="D47" s="7" t="str">
        <f>IFERROR(VLOOKUP($A47,参会名单!$A$2:$K$201,7,FALSE),"")</f>
        <v>标准</v>
      </c>
      <c r="E47" s="5" t="inlineStr">
        <is>
          <t>已签到</t>
        </is>
      </c>
      <c r="F47" s="8" t="n">
        <v>0.4013888888888889</v>
      </c>
      <c r="G47" s="5" t="inlineStr">
        <is>
          <t>人脸识别</t>
        </is>
      </c>
      <c r="H47" s="5" t="inlineStr">
        <is>
          <t>是</t>
        </is>
      </c>
      <c r="I47" s="9" t="inlineStr"/>
    </row>
    <row r="48">
      <c r="A48" s="5" t="n">
        <v>47</v>
      </c>
      <c r="B48" s="6" t="str">
        <f>IFERROR(VLOOKUP($A48,参会名单!$A$2:$K$201,2,FALSE),"")</f>
        <v>彭军伟</v>
      </c>
      <c r="C48" s="6" t="str">
        <f>IFERROR(VLOOKUP($A48,参会名单!$A$2:$K$201,3,FALSE),"")</f>
        <v>星瀚科技</v>
      </c>
      <c r="D48" s="7" t="str">
        <f>IFERROR(VLOOKUP($A48,参会名单!$A$2:$K$201,7,FALSE),"")</f>
        <v>标准</v>
      </c>
      <c r="E48" s="5" t="inlineStr">
        <is>
          <t>已签到</t>
        </is>
      </c>
      <c r="F48" s="8" t="n">
        <v>0.3506944444444444</v>
      </c>
      <c r="G48" s="5" t="inlineStr">
        <is>
          <t>扫码</t>
        </is>
      </c>
      <c r="H48" s="5" t="inlineStr">
        <is>
          <t>是</t>
        </is>
      </c>
      <c r="I48" s="9" t="inlineStr"/>
    </row>
    <row r="49">
      <c r="A49" s="5" t="n">
        <v>48</v>
      </c>
      <c r="B49" s="6" t="str">
        <f>IFERROR(VLOOKUP($A49,参会名单!$A$2:$K$201,2,FALSE),"")</f>
        <v>冯浩</v>
      </c>
      <c r="C49" s="6" t="str">
        <f>IFERROR(VLOOKUP($A49,参会名单!$A$2:$K$201,3,FALSE),"")</f>
        <v>蓝图网络</v>
      </c>
      <c r="D49" s="7" t="str">
        <f>IFERROR(VLOOKUP($A49,参会名单!$A$2:$K$201,7,FALSE),"")</f>
        <v>标准</v>
      </c>
      <c r="E49" s="5" t="inlineStr">
        <is>
          <t>已签到</t>
        </is>
      </c>
      <c r="F49" s="8" t="n">
        <v>0.4152777777777778</v>
      </c>
      <c r="G49" s="5" t="inlineStr">
        <is>
          <t>扫码</t>
        </is>
      </c>
      <c r="H49" s="5" t="inlineStr">
        <is>
          <t>是</t>
        </is>
      </c>
      <c r="I49" s="9" t="inlineStr">
        <is>
          <t>对花生过敏，已单独备注</t>
        </is>
      </c>
    </row>
    <row r="50">
      <c r="A50" s="5" t="n">
        <v>49</v>
      </c>
      <c r="B50" s="6" t="str">
        <f>IFERROR(VLOOKUP($A50,参会名单!$A$2:$K$201,2,FALSE),"")</f>
        <v>杨刚勇</v>
      </c>
      <c r="C50" s="6" t="str">
        <f>IFERROR(VLOOKUP($A50,参会名单!$A$2:$K$201,3,FALSE),"")</f>
        <v>灵犀科技</v>
      </c>
      <c r="D50" s="7" t="str">
        <f>IFERROR(VLOOKUP($A50,参会名单!$A$2:$K$201,7,FALSE),"")</f>
        <v>标准</v>
      </c>
      <c r="E50" s="5" t="inlineStr">
        <is>
          <t>未签到</t>
        </is>
      </c>
      <c r="F50" s="8" t="n"/>
      <c r="G50" s="5" t="n"/>
      <c r="H50" s="5" t="inlineStr">
        <is>
          <t>否</t>
        </is>
      </c>
      <c r="I50" s="9" t="inlineStr"/>
    </row>
    <row r="51">
      <c r="A51" s="5" t="n">
        <v>50</v>
      </c>
      <c r="B51" s="6" t="str">
        <f>IFERROR(VLOOKUP($A51,参会名单!$A$2:$K$201,2,FALSE),"")</f>
        <v>孙洋文</v>
      </c>
      <c r="C51" s="6" t="str">
        <f>IFERROR(VLOOKUP($A51,参会名单!$A$2:$K$201,3,FALSE),"")</f>
        <v>星瀚科技</v>
      </c>
      <c r="D51" s="7" t="str">
        <f>IFERROR(VLOOKUP($A51,参会名单!$A$2:$K$201,7,FALSE),"")</f>
        <v>标准</v>
      </c>
      <c r="E51" s="5" t="inlineStr">
        <is>
          <t>已签到</t>
        </is>
      </c>
      <c r="F51" s="8" t="n">
        <v>0.3604166666666667</v>
      </c>
      <c r="G51" s="5" t="inlineStr">
        <is>
          <t>人脸识别</t>
        </is>
      </c>
      <c r="H51" s="5" t="inlineStr">
        <is>
          <t>是</t>
        </is>
      </c>
      <c r="I51" s="9" t="inlineStr"/>
    </row>
    <row r="52">
      <c r="A52" s="5" t="n">
        <v>51</v>
      </c>
      <c r="B52" s="6" t="str">
        <f>IFERROR(VLOOKUP($A52,参会名单!$A$2:$K$201,2,FALSE),"")</f>
        <v>张静芳</v>
      </c>
      <c r="C52" s="6" t="str">
        <f>IFERROR(VLOOKUP($A52,参会名单!$A$2:$K$201,3,FALSE),"")</f>
        <v>天工智能</v>
      </c>
      <c r="D52" s="7" t="str">
        <f>IFERROR(VLOOKUP($A52,参会名单!$A$2:$K$201,7,FALSE),"")</f>
        <v>标准</v>
      </c>
      <c r="E52" s="5" t="inlineStr">
        <is>
          <t>已签到</t>
        </is>
      </c>
      <c r="F52" s="8" t="n">
        <v>0.3541666666666667</v>
      </c>
      <c r="G52" s="5" t="inlineStr">
        <is>
          <t>人脸识别</t>
        </is>
      </c>
      <c r="H52" s="5" t="inlineStr">
        <is>
          <t>是</t>
        </is>
      </c>
      <c r="I52" s="9" t="inlineStr"/>
    </row>
    <row r="53">
      <c r="A53" s="5" t="n">
        <v>52</v>
      </c>
      <c r="B53" s="6" t="str">
        <f>IFERROR(VLOOKUP($A53,参会名单!$A$2:$K$201,2,FALSE),"")</f>
        <v>徐军涛</v>
      </c>
      <c r="C53" s="6" t="str">
        <f>IFERROR(VLOOKUP($A53,参会名单!$A$2:$K$201,3,FALSE),"")</f>
        <v>智汇云</v>
      </c>
      <c r="D53" s="7" t="str">
        <f>IFERROR(VLOOKUP($A53,参会名单!$A$2:$K$201,7,FALSE),"")</f>
        <v>标准</v>
      </c>
      <c r="E53" s="5" t="inlineStr">
        <is>
          <t>已签到</t>
        </is>
      </c>
      <c r="F53" s="8" t="n">
        <v>0.3930555555555555</v>
      </c>
      <c r="G53" s="5" t="inlineStr">
        <is>
          <t>扫码</t>
        </is>
      </c>
      <c r="H53" s="5" t="inlineStr">
        <is>
          <t>是</t>
        </is>
      </c>
      <c r="I53" s="9" t="inlineStr"/>
    </row>
    <row r="54">
      <c r="A54" s="5" t="n">
        <v>53</v>
      </c>
      <c r="B54" s="6" t="str">
        <f>IFERROR(VLOOKUP($A54,参会名单!$A$2:$K$201,2,FALSE),"")</f>
        <v>张然</v>
      </c>
      <c r="C54" s="6" t="str">
        <f>IFERROR(VLOOKUP($A54,参会名单!$A$2:$K$201,3,FALSE),"")</f>
        <v>云栖智能</v>
      </c>
      <c r="D54" s="7" t="str">
        <f>IFERROR(VLOOKUP($A54,参会名单!$A$2:$K$201,7,FALSE),"")</f>
        <v>标准</v>
      </c>
      <c r="E54" s="5" t="inlineStr">
        <is>
          <t>已签到</t>
        </is>
      </c>
      <c r="F54" s="8" t="n">
        <v>0.3340277777777778</v>
      </c>
      <c r="G54" s="5" t="inlineStr">
        <is>
          <t>扫码</t>
        </is>
      </c>
      <c r="H54" s="5" t="inlineStr">
        <is>
          <t>是</t>
        </is>
      </c>
      <c r="I54" s="9" t="inlineStr"/>
    </row>
    <row r="55">
      <c r="A55" s="5" t="n">
        <v>54</v>
      </c>
      <c r="B55" s="6" t="str">
        <f>IFERROR(VLOOKUP($A55,参会名单!$A$2:$K$201,2,FALSE),"")</f>
        <v>刘怡</v>
      </c>
      <c r="C55" s="6" t="str">
        <f>IFERROR(VLOOKUP($A55,参会名单!$A$2:$K$201,3,FALSE),"")</f>
        <v>极光数据</v>
      </c>
      <c r="D55" s="7" t="str">
        <f>IFERROR(VLOOKUP($A55,参会名单!$A$2:$K$201,7,FALSE),"")</f>
        <v>标准</v>
      </c>
      <c r="E55" s="5" t="inlineStr">
        <is>
          <t>未签到</t>
        </is>
      </c>
      <c r="F55" s="8" t="n"/>
      <c r="G55" s="5" t="n"/>
      <c r="H55" s="5" t="inlineStr">
        <is>
          <t>否</t>
        </is>
      </c>
      <c r="I55" s="9" t="inlineStr">
        <is>
          <t>需开具增值税专用发票</t>
        </is>
      </c>
    </row>
    <row r="56">
      <c r="A56" s="5" t="n">
        <v>55</v>
      </c>
      <c r="B56" s="6" t="str">
        <f>IFERROR(VLOOKUP($A56,参会名单!$A$2:$K$201,2,FALSE),"")</f>
        <v>吴超彤</v>
      </c>
      <c r="C56" s="6" t="str">
        <f>IFERROR(VLOOKUP($A56,参会名单!$A$2:$K$201,3,FALSE),"")</f>
        <v>蓝图网络</v>
      </c>
      <c r="D56" s="7" t="str">
        <f>IFERROR(VLOOKUP($A56,参会名单!$A$2:$K$201,7,FALSE),"")</f>
        <v>标准</v>
      </c>
      <c r="E56" s="5" t="inlineStr">
        <is>
          <t>已签到</t>
        </is>
      </c>
      <c r="F56" s="8" t="n">
        <v>0.3409722222222222</v>
      </c>
      <c r="G56" s="5" t="inlineStr">
        <is>
          <t>扫码</t>
        </is>
      </c>
      <c r="H56" s="5" t="inlineStr">
        <is>
          <t>是</t>
        </is>
      </c>
      <c r="I56" s="9" t="inlineStr"/>
    </row>
    <row r="57">
      <c r="A57" s="5" t="n">
        <v>56</v>
      </c>
      <c r="B57" s="6" t="str">
        <f>IFERROR(VLOOKUP($A57,参会名单!$A$2:$K$201,2,FALSE),"")</f>
        <v>潘平</v>
      </c>
      <c r="C57" s="6" t="str">
        <f>IFERROR(VLOOKUP($A57,参会名单!$A$2:$K$201,3,FALSE),"")</f>
        <v>启元软件</v>
      </c>
      <c r="D57" s="7" t="str">
        <f>IFERROR(VLOOKUP($A57,参会名单!$A$2:$K$201,7,FALSE),"")</f>
        <v>标准</v>
      </c>
      <c r="E57" s="5" t="inlineStr">
        <is>
          <t>已签到</t>
        </is>
      </c>
      <c r="F57" s="8" t="n">
        <v>0.4097222222222222</v>
      </c>
      <c r="G57" s="5" t="inlineStr">
        <is>
          <t>扫码</t>
        </is>
      </c>
      <c r="H57" s="5" t="inlineStr">
        <is>
          <t>是</t>
        </is>
      </c>
      <c r="I57" s="9" t="inlineStr"/>
    </row>
    <row r="58">
      <c r="A58" s="5" t="n">
        <v>57</v>
      </c>
      <c r="B58" s="6" t="str">
        <f>IFERROR(VLOOKUP($A58,参会名单!$A$2:$K$201,2,FALSE),"")</f>
        <v>梁然琪</v>
      </c>
      <c r="C58" s="6" t="str">
        <f>IFERROR(VLOOKUP($A58,参会名单!$A$2:$K$201,3,FALSE),"")</f>
        <v>天工智能</v>
      </c>
      <c r="D58" s="7" t="str">
        <f>IFERROR(VLOOKUP($A58,参会名单!$A$2:$K$201,7,FALSE),"")</f>
        <v>标准</v>
      </c>
      <c r="E58" s="5" t="inlineStr">
        <is>
          <t>已签到</t>
        </is>
      </c>
      <c r="F58" s="8" t="n">
        <v>0.4361111111111111</v>
      </c>
      <c r="G58" s="5" t="inlineStr">
        <is>
          <t>人脸识别</t>
        </is>
      </c>
      <c r="H58" s="5" t="inlineStr">
        <is>
          <t>是</t>
        </is>
      </c>
      <c r="I58" s="9" t="inlineStr"/>
    </row>
    <row r="59">
      <c r="A59" s="5" t="n">
        <v>58</v>
      </c>
      <c r="B59" s="6" t="str">
        <f>IFERROR(VLOOKUP($A59,参会名单!$A$2:$K$201,2,FALSE),"")</f>
        <v>潘泽</v>
      </c>
      <c r="C59" s="6" t="str">
        <f>IFERROR(VLOOKUP($A59,参会名单!$A$2:$K$201,3,FALSE),"")</f>
        <v>云栖智能</v>
      </c>
      <c r="D59" s="7" t="str">
        <f>IFERROR(VLOOKUP($A59,参会名单!$A$2:$K$201,7,FALSE),"")</f>
        <v>标准</v>
      </c>
      <c r="E59" s="5" t="inlineStr">
        <is>
          <t>已签到</t>
        </is>
      </c>
      <c r="F59" s="8" t="n">
        <v>0.3451388888888889</v>
      </c>
      <c r="G59" s="5" t="inlineStr">
        <is>
          <t>人脸识别</t>
        </is>
      </c>
      <c r="H59" s="5" t="inlineStr">
        <is>
          <t>是</t>
        </is>
      </c>
      <c r="I59" s="9" t="inlineStr"/>
    </row>
    <row r="60">
      <c r="A60" s="5" t="n">
        <v>59</v>
      </c>
      <c r="B60" s="6" t="str">
        <f>IFERROR(VLOOKUP($A60,参会名单!$A$2:$K$201,2,FALSE),"")</f>
        <v>黄勇</v>
      </c>
      <c r="C60" s="6" t="str">
        <f>IFERROR(VLOOKUP($A60,参会名单!$A$2:$K$201,3,FALSE),"")</f>
        <v>星瀚科技</v>
      </c>
      <c r="D60" s="7" t="str">
        <f>IFERROR(VLOOKUP($A60,参会名单!$A$2:$K$201,7,FALSE),"")</f>
        <v>标准</v>
      </c>
      <c r="E60" s="5" t="inlineStr">
        <is>
          <t>未签到</t>
        </is>
      </c>
      <c r="F60" s="8" t="n"/>
      <c r="G60" s="5" t="n"/>
      <c r="H60" s="5" t="inlineStr">
        <is>
          <t>否</t>
        </is>
      </c>
      <c r="I60" s="9" t="inlineStr"/>
    </row>
    <row r="61">
      <c r="A61" s="5" t="n">
        <v>60</v>
      </c>
      <c r="B61" s="6" t="str">
        <f>IFERROR(VLOOKUP($A61,参会名单!$A$2:$K$201,2,FALSE),"")</f>
        <v>周静刚</v>
      </c>
      <c r="C61" s="6" t="str">
        <f>IFERROR(VLOOKUP($A61,参会名单!$A$2:$K$201,3,FALSE),"")</f>
        <v>蓝图网络</v>
      </c>
      <c r="D61" s="7" t="str">
        <f>IFERROR(VLOOKUP($A61,参会名单!$A$2:$K$201,7,FALSE),"")</f>
        <v>标准</v>
      </c>
      <c r="E61" s="5" t="inlineStr">
        <is>
          <t>已签到</t>
        </is>
      </c>
      <c r="F61" s="8" t="n">
        <v>0.3618055555555555</v>
      </c>
      <c r="G61" s="5" t="inlineStr">
        <is>
          <t>人脸识别</t>
        </is>
      </c>
      <c r="H61" s="5" t="inlineStr">
        <is>
          <t>是</t>
        </is>
      </c>
      <c r="I61" s="9" t="inlineStr"/>
    </row>
    <row r="62">
      <c r="A62" s="5" t="n">
        <v>61</v>
      </c>
      <c r="B62" s="6" t="str">
        <f>IFERROR(VLOOKUP($A62,参会名单!$A$2:$K$201,2,FALSE),"")</f>
        <v>曹霞</v>
      </c>
      <c r="C62" s="6" t="str">
        <f>IFERROR(VLOOKUP($A62,参会名单!$A$2:$K$201,3,FALSE),"")</f>
        <v>蜂巢科技</v>
      </c>
      <c r="D62" s="7" t="str">
        <f>IFERROR(VLOOKUP($A62,参会名单!$A$2:$K$201,7,FALSE),"")</f>
        <v>标准</v>
      </c>
      <c r="E62" s="5" t="inlineStr">
        <is>
          <t>已签到</t>
        </is>
      </c>
      <c r="F62" s="8" t="n">
        <v>0.3784722222222222</v>
      </c>
      <c r="G62" s="5" t="inlineStr">
        <is>
          <t>扫码</t>
        </is>
      </c>
      <c r="H62" s="5" t="inlineStr">
        <is>
          <t>是</t>
        </is>
      </c>
      <c r="I62" s="9" t="inlineStr"/>
    </row>
    <row r="63">
      <c r="A63" s="5" t="n">
        <v>62</v>
      </c>
      <c r="B63" s="6" t="str">
        <f>IFERROR(VLOOKUP($A63,参会名单!$A$2:$K$201,2,FALSE),"")</f>
        <v>蒋军欣</v>
      </c>
      <c r="C63" s="6" t="str">
        <f>IFERROR(VLOOKUP($A63,参会名单!$A$2:$K$201,3,FALSE),"")</f>
        <v>蜂巢科技</v>
      </c>
      <c r="D63" s="7" t="str">
        <f>IFERROR(VLOOKUP($A63,参会名单!$A$2:$K$201,7,FALSE),"")</f>
        <v>标准</v>
      </c>
      <c r="E63" s="5" t="inlineStr">
        <is>
          <t>已签到</t>
        </is>
      </c>
      <c r="F63" s="8" t="n">
        <v>0.3618055555555555</v>
      </c>
      <c r="G63" s="5" t="inlineStr">
        <is>
          <t>扫码</t>
        </is>
      </c>
      <c r="H63" s="5" t="inlineStr">
        <is>
          <t>是</t>
        </is>
      </c>
      <c r="I63" s="9" t="inlineStr"/>
    </row>
    <row r="64">
      <c r="A64" s="5" t="n">
        <v>63</v>
      </c>
      <c r="B64" s="6" t="str">
        <f>IFERROR(VLOOKUP($A64,参会名单!$A$2:$K$201,2,FALSE),"")</f>
        <v>曹怡桐</v>
      </c>
      <c r="C64" s="6" t="str">
        <f>IFERROR(VLOOKUP($A64,参会名单!$A$2:$K$201,3,FALSE),"")</f>
        <v>天工智能</v>
      </c>
      <c r="D64" s="7" t="str">
        <f>IFERROR(VLOOKUP($A64,参会名单!$A$2:$K$201,7,FALSE),"")</f>
        <v>标准</v>
      </c>
      <c r="E64" s="5" t="inlineStr">
        <is>
          <t>已签到</t>
        </is>
      </c>
      <c r="F64" s="8" t="n">
        <v>0.4</v>
      </c>
      <c r="G64" s="5" t="inlineStr">
        <is>
          <t>前台登记</t>
        </is>
      </c>
      <c r="H64" s="5" t="inlineStr">
        <is>
          <t>是</t>
        </is>
      </c>
      <c r="I64" s="9" t="inlineStr"/>
    </row>
    <row r="65">
      <c r="A65" s="5" t="n">
        <v>64</v>
      </c>
      <c r="B65" s="6" t="str">
        <f>IFERROR(VLOOKUP($A65,参会名单!$A$2:$K$201,2,FALSE),"")</f>
        <v>唐明伟</v>
      </c>
      <c r="C65" s="6" t="str">
        <f>IFERROR(VLOOKUP($A65,参会名单!$A$2:$K$201,3,FALSE),"")</f>
        <v>蓝图网络</v>
      </c>
      <c r="D65" s="7" t="str">
        <f>IFERROR(VLOOKUP($A65,参会名单!$A$2:$K$201,7,FALSE),"")</f>
        <v>标准</v>
      </c>
      <c r="E65" s="5" t="inlineStr">
        <is>
          <t>已签到</t>
        </is>
      </c>
      <c r="F65" s="8" t="n">
        <v>0.3673611111111111</v>
      </c>
      <c r="G65" s="5" t="inlineStr">
        <is>
          <t>扫码</t>
        </is>
      </c>
      <c r="H65" s="5" t="inlineStr">
        <is>
          <t>是</t>
        </is>
      </c>
      <c r="I65" s="9" t="inlineStr"/>
    </row>
    <row r="66">
      <c r="A66" s="5" t="n">
        <v>65</v>
      </c>
      <c r="B66" s="6" t="str">
        <f>IFERROR(VLOOKUP($A66,参会名单!$A$2:$K$201,2,FALSE),"")</f>
        <v>韩欣勇</v>
      </c>
      <c r="C66" s="6" t="str">
        <f>IFERROR(VLOOKUP($A66,参会名单!$A$2:$K$201,3,FALSE),"")</f>
        <v>光合数字</v>
      </c>
      <c r="D66" s="7" t="str">
        <f>IFERROR(VLOOKUP($A66,参会名单!$A$2:$K$201,7,FALSE),"")</f>
        <v>标准</v>
      </c>
      <c r="E66" s="5" t="inlineStr">
        <is>
          <t>请假</t>
        </is>
      </c>
      <c r="F66" s="8" t="n"/>
      <c r="G66" s="5" t="n"/>
      <c r="H66" s="5" t="inlineStr">
        <is>
          <t>否</t>
        </is>
      </c>
      <c r="I66" s="9" t="inlineStr"/>
    </row>
    <row r="67">
      <c r="A67" s="5" t="n">
        <v>66</v>
      </c>
      <c r="B67" s="6" t="str">
        <f>IFERROR(VLOOKUP($A67,参会名单!$A$2:$K$201,2,FALSE),"")</f>
        <v>陈敏子</v>
      </c>
      <c r="C67" s="6" t="str">
        <f>IFERROR(VLOOKUP($A67,参会名单!$A$2:$K$201,3,FALSE),"")</f>
        <v>万象云</v>
      </c>
      <c r="D67" s="7" t="str">
        <f>IFERROR(VLOOKUP($A67,参会名单!$A$2:$K$201,7,FALSE),"")</f>
        <v>标准</v>
      </c>
      <c r="E67" s="5" t="inlineStr">
        <is>
          <t>已签到</t>
        </is>
      </c>
      <c r="F67" s="8" t="n">
        <v>0.3430555555555556</v>
      </c>
      <c r="G67" s="5" t="inlineStr">
        <is>
          <t>扫码</t>
        </is>
      </c>
      <c r="H67" s="5" t="inlineStr">
        <is>
          <t>是</t>
        </is>
      </c>
      <c r="I67" s="9" t="inlineStr"/>
    </row>
    <row r="68">
      <c r="A68" s="5" t="n">
        <v>67</v>
      </c>
      <c r="B68" s="6" t="str">
        <f>IFERROR(VLOOKUP($A68,参会名单!$A$2:$K$201,2,FALSE),"")</f>
        <v>陈艳</v>
      </c>
      <c r="C68" s="6" t="str">
        <f>IFERROR(VLOOKUP($A68,参会名单!$A$2:$K$201,3,FALSE),"")</f>
        <v>领航智造</v>
      </c>
      <c r="D68" s="7" t="str">
        <f>IFERROR(VLOOKUP($A68,参会名单!$A$2:$K$201,7,FALSE),"")</f>
        <v>标准</v>
      </c>
      <c r="E68" s="5" t="inlineStr">
        <is>
          <t>已签到</t>
        </is>
      </c>
      <c r="F68" s="8" t="n">
        <v>0.4138888888888889</v>
      </c>
      <c r="G68" s="5" t="inlineStr">
        <is>
          <t>扫码</t>
        </is>
      </c>
      <c r="H68" s="5" t="inlineStr">
        <is>
          <t>是</t>
        </is>
      </c>
      <c r="I68" s="9" t="inlineStr"/>
    </row>
    <row r="69">
      <c r="A69" s="5" t="n">
        <v>68</v>
      </c>
      <c r="B69" s="6" t="str">
        <f>IFERROR(VLOOKUP($A69,参会名单!$A$2:$K$201,2,FALSE),"")</f>
        <v>徐丽</v>
      </c>
      <c r="C69" s="6" t="str">
        <f>IFERROR(VLOOKUP($A69,参会名单!$A$2:$K$201,3,FALSE),"")</f>
        <v>极光数据</v>
      </c>
      <c r="D69" s="7" t="str">
        <f>IFERROR(VLOOKUP($A69,参会名单!$A$2:$K$201,7,FALSE),"")</f>
        <v>标准</v>
      </c>
      <c r="E69" s="5" t="inlineStr">
        <is>
          <t>已签到</t>
        </is>
      </c>
      <c r="F69" s="8" t="n">
        <v>0.3861111111111111</v>
      </c>
      <c r="G69" s="5" t="inlineStr">
        <is>
          <t>扫码</t>
        </is>
      </c>
      <c r="H69" s="5" t="inlineStr">
        <is>
          <t>是</t>
        </is>
      </c>
      <c r="I69" s="9" t="inlineStr"/>
    </row>
    <row r="70">
      <c r="A70" s="5" t="n">
        <v>69</v>
      </c>
      <c r="B70" s="6" t="str">
        <f>IFERROR(VLOOKUP($A70,参会名单!$A$2:$K$201,2,FALSE),"")</f>
        <v>孙怡</v>
      </c>
      <c r="C70" s="6" t="str">
        <f>IFERROR(VLOOKUP($A70,参会名单!$A$2:$K$201,3,FALSE),"")</f>
        <v>云栖智能</v>
      </c>
      <c r="D70" s="7" t="str">
        <f>IFERROR(VLOOKUP($A70,参会名单!$A$2:$K$201,7,FALSE),"")</f>
        <v>标准</v>
      </c>
      <c r="E70" s="5" t="inlineStr">
        <is>
          <t>已签到</t>
        </is>
      </c>
      <c r="F70" s="8" t="n">
        <v>0.3888888888888889</v>
      </c>
      <c r="G70" s="5" t="inlineStr">
        <is>
          <t>扫码</t>
        </is>
      </c>
      <c r="H70" s="5" t="inlineStr">
        <is>
          <t>是</t>
        </is>
      </c>
      <c r="I70" s="9" t="inlineStr"/>
    </row>
    <row r="71">
      <c r="A71" s="5" t="n">
        <v>70</v>
      </c>
      <c r="B71" s="6" t="str">
        <f>IFERROR(VLOOKUP($A71,参会名单!$A$2:$K$201,2,FALSE),"")</f>
        <v>董宁琪</v>
      </c>
      <c r="C71" s="6" t="str">
        <f>IFERROR(VLOOKUP($A71,参会名单!$A$2:$K$201,3,FALSE),"")</f>
        <v>智汇云</v>
      </c>
      <c r="D71" s="7" t="str">
        <f>IFERROR(VLOOKUP($A71,参会名单!$A$2:$K$201,7,FALSE),"")</f>
        <v>标准</v>
      </c>
      <c r="E71" s="5" t="inlineStr">
        <is>
          <t>请假</t>
        </is>
      </c>
      <c r="F71" s="8" t="n"/>
      <c r="G71" s="5" t="n"/>
      <c r="H71" s="5" t="inlineStr">
        <is>
          <t>否</t>
        </is>
      </c>
      <c r="I71" s="9" t="inlineStr"/>
    </row>
    <row r="72">
      <c r="A72" s="5" t="n">
        <v>71</v>
      </c>
      <c r="B72" s="6" t="str">
        <f>IFERROR(VLOOKUP($A72,参会名单!$A$2:$K$201,2,FALSE),"")</f>
        <v>黄军</v>
      </c>
      <c r="C72" s="6" t="str">
        <f>IFERROR(VLOOKUP($A72,参会名单!$A$2:$K$201,3,FALSE),"")</f>
        <v>智汇云</v>
      </c>
      <c r="D72" s="7" t="str">
        <f>IFERROR(VLOOKUP($A72,参会名单!$A$2:$K$201,7,FALSE),"")</f>
        <v>标准</v>
      </c>
      <c r="E72" s="5" t="inlineStr">
        <is>
          <t>已签到</t>
        </is>
      </c>
      <c r="F72" s="8" t="n">
        <v>0.4</v>
      </c>
      <c r="G72" s="5" t="inlineStr">
        <is>
          <t>扫码</t>
        </is>
      </c>
      <c r="H72" s="5" t="inlineStr">
        <is>
          <t>是</t>
        </is>
      </c>
      <c r="I72" s="9" t="inlineStr"/>
    </row>
    <row r="73">
      <c r="A73" s="5" t="n">
        <v>72</v>
      </c>
      <c r="B73" s="6" t="str">
        <f>IFERROR(VLOOKUP($A73,参会名单!$A$2:$K$201,2,FALSE),"")</f>
        <v>彭宇</v>
      </c>
      <c r="C73" s="6" t="str">
        <f>IFERROR(VLOOKUP($A73,参会名单!$A$2:$K$201,3,FALSE),"")</f>
        <v>云栖智能</v>
      </c>
      <c r="D73" s="7" t="str">
        <f>IFERROR(VLOOKUP($A73,参会名单!$A$2:$K$201,7,FALSE),"")</f>
        <v>标准</v>
      </c>
      <c r="E73" s="5" t="inlineStr">
        <is>
          <t>已签到</t>
        </is>
      </c>
      <c r="F73" s="8" t="n">
        <v>0.4131944444444444</v>
      </c>
      <c r="G73" s="5" t="inlineStr">
        <is>
          <t>人脸识别</t>
        </is>
      </c>
      <c r="H73" s="5" t="inlineStr">
        <is>
          <t>是</t>
        </is>
      </c>
      <c r="I73" s="9" t="inlineStr">
        <is>
          <t>赞助商展位对接人</t>
        </is>
      </c>
    </row>
    <row r="74">
      <c r="A74" s="5" t="n">
        <v>73</v>
      </c>
      <c r="B74" s="6" t="str">
        <f>IFERROR(VLOOKUP($A74,参会名单!$A$2:$K$201,2,FALSE),"")</f>
        <v>周欣刚</v>
      </c>
      <c r="C74" s="6" t="str">
        <f>IFERROR(VLOOKUP($A74,参会名单!$A$2:$K$201,3,FALSE),"")</f>
        <v>深蓝计算</v>
      </c>
      <c r="D74" s="7" t="str">
        <f>IFERROR(VLOOKUP($A74,参会名单!$A$2:$K$201,7,FALSE),"")</f>
        <v>标准</v>
      </c>
      <c r="E74" s="5" t="inlineStr">
        <is>
          <t>已签到</t>
        </is>
      </c>
      <c r="F74" s="8" t="n">
        <v>0.3930555555555555</v>
      </c>
      <c r="G74" s="5" t="inlineStr">
        <is>
          <t>前台登记</t>
        </is>
      </c>
      <c r="H74" s="5" t="inlineStr">
        <is>
          <t>是</t>
        </is>
      </c>
      <c r="I74" s="9" t="inlineStr"/>
    </row>
    <row r="75">
      <c r="A75" s="5" t="n">
        <v>74</v>
      </c>
      <c r="B75" s="6" t="str">
        <f>IFERROR(VLOOKUP($A75,参会名单!$A$2:$K$201,2,FALSE),"")</f>
        <v>郭雨</v>
      </c>
      <c r="C75" s="6" t="str">
        <f>IFERROR(VLOOKUP($A75,参会名单!$A$2:$K$201,3,FALSE),"")</f>
        <v>光合数字</v>
      </c>
      <c r="D75" s="7" t="str">
        <f>IFERROR(VLOOKUP($A75,参会名单!$A$2:$K$201,7,FALSE),"")</f>
        <v>标准</v>
      </c>
      <c r="E75" s="5" t="inlineStr">
        <is>
          <t>已签到</t>
        </is>
      </c>
      <c r="F75" s="8" t="n">
        <v>0.3451388888888889</v>
      </c>
      <c r="G75" s="5" t="inlineStr">
        <is>
          <t>扫码</t>
        </is>
      </c>
      <c r="H75" s="5" t="inlineStr">
        <is>
          <t>是</t>
        </is>
      </c>
      <c r="I75" s="9" t="inlineStr">
        <is>
          <t>提前离场，下午不参加</t>
        </is>
      </c>
    </row>
    <row r="76">
      <c r="A76" s="5" t="n">
        <v>75</v>
      </c>
      <c r="B76" s="6" t="str">
        <f>IFERROR(VLOOKUP($A76,参会名单!$A$2:$K$201,2,FALSE),"")</f>
        <v>唐娟</v>
      </c>
      <c r="C76" s="6" t="str">
        <f>IFERROR(VLOOKUP($A76,参会名单!$A$2:$K$201,3,FALSE),"")</f>
        <v>星环动力</v>
      </c>
      <c r="D76" s="7" t="str">
        <f>IFERROR(VLOOKUP($A76,参会名单!$A$2:$K$201,7,FALSE),"")</f>
        <v>标准</v>
      </c>
      <c r="E76" s="5" t="inlineStr">
        <is>
          <t>已签到</t>
        </is>
      </c>
      <c r="F76" s="8" t="n">
        <v>0.3930555555555555</v>
      </c>
      <c r="G76" s="5" t="inlineStr">
        <is>
          <t>人脸识别</t>
        </is>
      </c>
      <c r="H76" s="5" t="inlineStr">
        <is>
          <t>是</t>
        </is>
      </c>
      <c r="I76" s="9" t="inlineStr"/>
    </row>
    <row r="77">
      <c r="A77" s="5" t="n">
        <v>76</v>
      </c>
      <c r="B77" s="6" t="str">
        <f>IFERROR(VLOOKUP($A77,参会名单!$A$2:$K$201,2,FALSE),"")</f>
        <v>李伟静</v>
      </c>
      <c r="C77" s="6" t="str">
        <f>IFERROR(VLOOKUP($A77,参会名单!$A$2:$K$201,3,FALSE),"")</f>
        <v>领航智造</v>
      </c>
      <c r="D77" s="7" t="str">
        <f>IFERROR(VLOOKUP($A77,参会名单!$A$2:$K$201,7,FALSE),"")</f>
        <v>标准</v>
      </c>
      <c r="E77" s="5" t="inlineStr">
        <is>
          <t>已签到</t>
        </is>
      </c>
      <c r="F77" s="8" t="n">
        <v>0.3993055555555556</v>
      </c>
      <c r="G77" s="5" t="inlineStr">
        <is>
          <t>人脸识别</t>
        </is>
      </c>
      <c r="H77" s="5" t="inlineStr">
        <is>
          <t>是</t>
        </is>
      </c>
      <c r="I77" s="9" t="inlineStr"/>
    </row>
    <row r="78">
      <c r="A78" s="5" t="n">
        <v>77</v>
      </c>
      <c r="B78" s="6" t="str">
        <f>IFERROR(VLOOKUP($A78,参会名单!$A$2:$K$201,2,FALSE),"")</f>
        <v>高浩杰</v>
      </c>
      <c r="C78" s="6" t="str">
        <f>IFERROR(VLOOKUP($A78,参会名单!$A$2:$K$201,3,FALSE),"")</f>
        <v>万象云</v>
      </c>
      <c r="D78" s="7" t="str">
        <f>IFERROR(VLOOKUP($A78,参会名单!$A$2:$K$201,7,FALSE),"")</f>
        <v>标准</v>
      </c>
      <c r="E78" s="5" t="inlineStr">
        <is>
          <t>已签到</t>
        </is>
      </c>
      <c r="F78" s="8" t="n">
        <v>0.3715277777777778</v>
      </c>
      <c r="G78" s="5" t="inlineStr">
        <is>
          <t>扫码</t>
        </is>
      </c>
      <c r="H78" s="5" t="inlineStr">
        <is>
          <t>是</t>
        </is>
      </c>
      <c r="I78" s="9" t="inlineStr"/>
    </row>
    <row r="79">
      <c r="A79" s="5" t="n">
        <v>78</v>
      </c>
      <c r="B79" s="6" t="str">
        <f>IFERROR(VLOOKUP($A79,参会名单!$A$2:$K$201,2,FALSE),"")</f>
        <v>曹然浩</v>
      </c>
      <c r="C79" s="6" t="str">
        <f>IFERROR(VLOOKUP($A79,参会名单!$A$2:$K$201,3,FALSE),"")</f>
        <v>光合数字</v>
      </c>
      <c r="D79" s="7" t="str">
        <f>IFERROR(VLOOKUP($A79,参会名单!$A$2:$K$201,7,FALSE),"")</f>
        <v>标准</v>
      </c>
      <c r="E79" s="5" t="inlineStr">
        <is>
          <t>已签到</t>
        </is>
      </c>
      <c r="F79" s="8" t="n">
        <v>0.3993055555555556</v>
      </c>
      <c r="G79" s="5" t="inlineStr">
        <is>
          <t>扫码</t>
        </is>
      </c>
      <c r="H79" s="5" t="inlineStr">
        <is>
          <t>是</t>
        </is>
      </c>
      <c r="I79" s="9" t="inlineStr"/>
    </row>
    <row r="80">
      <c r="A80" s="5" t="n">
        <v>79</v>
      </c>
      <c r="B80" s="6" t="str">
        <f>IFERROR(VLOOKUP($A80,参会名单!$A$2:$K$201,2,FALSE),"")</f>
        <v>潘刚</v>
      </c>
      <c r="C80" s="6" t="str">
        <f>IFERROR(VLOOKUP($A80,参会名单!$A$2:$K$201,3,FALSE),"")</f>
        <v>光合数字</v>
      </c>
      <c r="D80" s="7" t="str">
        <f>IFERROR(VLOOKUP($A80,参会名单!$A$2:$K$201,7,FALSE),"")</f>
        <v>标准</v>
      </c>
      <c r="E80" s="5" t="inlineStr">
        <is>
          <t>已签到</t>
        </is>
      </c>
      <c r="F80" s="8" t="n">
        <v>0.3361111111111111</v>
      </c>
      <c r="G80" s="5" t="inlineStr">
        <is>
          <t>扫码</t>
        </is>
      </c>
      <c r="H80" s="5" t="inlineStr">
        <is>
          <t>是</t>
        </is>
      </c>
      <c r="I80" s="9" t="inlineStr"/>
    </row>
    <row r="81">
      <c r="A81" s="5" t="n">
        <v>80</v>
      </c>
      <c r="B81" s="6" t="str">
        <f>IFERROR(VLOOKUP($A81,参会名单!$A$2:$K$201,2,FALSE),"")</f>
        <v>林强桐</v>
      </c>
      <c r="C81" s="6" t="str">
        <f>IFERROR(VLOOKUP($A81,参会名单!$A$2:$K$201,3,FALSE),"")</f>
        <v>蓝图网络</v>
      </c>
      <c r="D81" s="7" t="str">
        <f>IFERROR(VLOOKUP($A81,参会名单!$A$2:$K$201,7,FALSE),"")</f>
        <v>标准</v>
      </c>
      <c r="E81" s="5" t="inlineStr">
        <is>
          <t>已签到</t>
        </is>
      </c>
      <c r="F81" s="8" t="n">
        <v>0.3680555555555556</v>
      </c>
      <c r="G81" s="5" t="inlineStr">
        <is>
          <t>人脸识别</t>
        </is>
      </c>
      <c r="H81" s="5" t="inlineStr">
        <is>
          <t>是</t>
        </is>
      </c>
      <c r="I81" s="9" t="inlineStr"/>
    </row>
    <row r="82">
      <c r="A82" s="5" t="n">
        <v>81</v>
      </c>
      <c r="B82" s="6" t="str">
        <f>IFERROR(VLOOKUP($A82,参会名单!$A$2:$K$201,2,FALSE),"")</f>
        <v>张桐</v>
      </c>
      <c r="C82" s="6" t="str">
        <f>IFERROR(VLOOKUP($A82,参会名单!$A$2:$K$201,3,FALSE),"")</f>
        <v>南岭智联</v>
      </c>
      <c r="D82" s="7" t="str">
        <f>IFERROR(VLOOKUP($A82,参会名单!$A$2:$K$201,7,FALSE),"")</f>
        <v>标准</v>
      </c>
      <c r="E82" s="5" t="inlineStr">
        <is>
          <t>已签到</t>
        </is>
      </c>
      <c r="F82" s="8" t="n">
        <v>0.3993055555555556</v>
      </c>
      <c r="G82" s="5" t="inlineStr">
        <is>
          <t>扫码</t>
        </is>
      </c>
      <c r="H82" s="5" t="inlineStr">
        <is>
          <t>是</t>
        </is>
      </c>
      <c r="I82" s="9" t="inlineStr"/>
    </row>
    <row r="83">
      <c r="A83" s="5" t="n">
        <v>82</v>
      </c>
      <c r="B83" s="6" t="str">
        <f>IFERROR(VLOOKUP($A83,参会名单!$A$2:$K$201,2,FALSE),"")</f>
        <v>周浩</v>
      </c>
      <c r="C83" s="6" t="str">
        <f>IFERROR(VLOOKUP($A83,参会名单!$A$2:$K$201,3,FALSE),"")</f>
        <v>云栖智能</v>
      </c>
      <c r="D83" s="7" t="str">
        <f>IFERROR(VLOOKUP($A83,参会名单!$A$2:$K$201,7,FALSE),"")</f>
        <v>标准</v>
      </c>
      <c r="E83" s="5" t="inlineStr">
        <is>
          <t>已签到</t>
        </is>
      </c>
      <c r="F83" s="8" t="n">
        <v>0.3618055555555555</v>
      </c>
      <c r="G83" s="5" t="inlineStr">
        <is>
          <t>前台登记</t>
        </is>
      </c>
      <c r="H83" s="5" t="inlineStr">
        <is>
          <t>是</t>
        </is>
      </c>
      <c r="I83" s="9" t="inlineStr"/>
    </row>
    <row r="84">
      <c r="A84" s="5" t="n">
        <v>83</v>
      </c>
      <c r="B84" s="6" t="str">
        <f>IFERROR(VLOOKUP($A84,参会名单!$A$2:$K$201,2,FALSE),"")</f>
        <v>高杰</v>
      </c>
      <c r="C84" s="6" t="str">
        <f>IFERROR(VLOOKUP($A84,参会名单!$A$2:$K$201,3,FALSE),"")</f>
        <v>万象云</v>
      </c>
      <c r="D84" s="7" t="str">
        <f>IFERROR(VLOOKUP($A84,参会名单!$A$2:$K$201,7,FALSE),"")</f>
        <v>标准</v>
      </c>
      <c r="E84" s="5" t="inlineStr">
        <is>
          <t>已签到</t>
        </is>
      </c>
      <c r="F84" s="8" t="n">
        <v>0.3722222222222222</v>
      </c>
      <c r="G84" s="5" t="inlineStr">
        <is>
          <t>扫码</t>
        </is>
      </c>
      <c r="H84" s="5" t="inlineStr">
        <is>
          <t>是</t>
        </is>
      </c>
      <c r="I84" s="9" t="inlineStr"/>
    </row>
    <row r="85">
      <c r="A85" s="5" t="n">
        <v>84</v>
      </c>
      <c r="B85" s="6" t="str">
        <f>IFERROR(VLOOKUP($A85,参会名单!$A$2:$K$201,2,FALSE),"")</f>
        <v>孙雨</v>
      </c>
      <c r="C85" s="6" t="str">
        <f>IFERROR(VLOOKUP($A85,参会名单!$A$2:$K$201,3,FALSE),"")</f>
        <v>蓝图网络</v>
      </c>
      <c r="D85" s="7" t="str">
        <f>IFERROR(VLOOKUP($A85,参会名单!$A$2:$K$201,7,FALSE),"")</f>
        <v>标准</v>
      </c>
      <c r="E85" s="5" t="inlineStr">
        <is>
          <t>已签到</t>
        </is>
      </c>
      <c r="F85" s="8" t="n">
        <v>0.3506944444444444</v>
      </c>
      <c r="G85" s="5" t="inlineStr">
        <is>
          <t>人脸识别</t>
        </is>
      </c>
      <c r="H85" s="5" t="inlineStr">
        <is>
          <t>是</t>
        </is>
      </c>
      <c r="I85" s="9" t="inlineStr"/>
    </row>
    <row r="86">
      <c r="A86" s="5" t="n">
        <v>85</v>
      </c>
      <c r="B86" s="6" t="str">
        <f>IFERROR(VLOOKUP($A86,参会名单!$A$2:$K$201,2,FALSE),"")</f>
        <v>赵嘉</v>
      </c>
      <c r="C86" s="6" t="str">
        <f>IFERROR(VLOOKUP($A86,参会名单!$A$2:$K$201,3,FALSE),"")</f>
        <v>微光信息</v>
      </c>
      <c r="D86" s="7" t="str">
        <f>IFERROR(VLOOKUP($A86,参会名单!$A$2:$K$201,7,FALSE),"")</f>
        <v>标准</v>
      </c>
      <c r="E86" s="5" t="inlineStr">
        <is>
          <t>已签到</t>
        </is>
      </c>
      <c r="F86" s="8" t="n">
        <v>0.4048611111111111</v>
      </c>
      <c r="G86" s="5" t="inlineStr">
        <is>
          <t>人脸识别</t>
        </is>
      </c>
      <c r="H86" s="5" t="inlineStr">
        <is>
          <t>是</t>
        </is>
      </c>
      <c r="I86" s="9" t="inlineStr">
        <is>
          <t>需预留前排座位</t>
        </is>
      </c>
    </row>
    <row r="87">
      <c r="A87" s="5" t="n">
        <v>86</v>
      </c>
      <c r="B87" s="6" t="str">
        <f>IFERROR(VLOOKUP($A87,参会名单!$A$2:$K$201,2,FALSE),"")</f>
        <v>谢然</v>
      </c>
      <c r="C87" s="6" t="str">
        <f>IFERROR(VLOOKUP($A87,参会名单!$A$2:$K$201,3,FALSE),"")</f>
        <v>领航智造</v>
      </c>
      <c r="D87" s="7" t="str">
        <f>IFERROR(VLOOKUP($A87,参会名单!$A$2:$K$201,7,FALSE),"")</f>
        <v>标准</v>
      </c>
      <c r="E87" s="5" t="inlineStr">
        <is>
          <t>已签到</t>
        </is>
      </c>
      <c r="F87" s="8" t="n">
        <v>0.4201388888888889</v>
      </c>
      <c r="G87" s="5" t="inlineStr">
        <is>
          <t>前台登记</t>
        </is>
      </c>
      <c r="H87" s="5" t="inlineStr">
        <is>
          <t>否</t>
        </is>
      </c>
      <c r="I87" s="9" t="inlineStr"/>
    </row>
    <row r="88">
      <c r="A88" s="5" t="n">
        <v>87</v>
      </c>
      <c r="B88" s="6" t="str">
        <f>IFERROR(VLOOKUP($A88,参会名单!$A$2:$K$201,2,FALSE),"")</f>
        <v>杨娟</v>
      </c>
      <c r="C88" s="6" t="str">
        <f>IFERROR(VLOOKUP($A88,参会名单!$A$2:$K$201,3,FALSE),"")</f>
        <v>智汇云</v>
      </c>
      <c r="D88" s="7" t="str">
        <f>IFERROR(VLOOKUP($A88,参会名单!$A$2:$K$201,7,FALSE),"")</f>
        <v>标准</v>
      </c>
      <c r="E88" s="5" t="inlineStr">
        <is>
          <t>已签到</t>
        </is>
      </c>
      <c r="F88" s="8" t="n">
        <v>0.3923611111111111</v>
      </c>
      <c r="G88" s="5" t="inlineStr">
        <is>
          <t>扫码</t>
        </is>
      </c>
      <c r="H88" s="5" t="inlineStr">
        <is>
          <t>是</t>
        </is>
      </c>
      <c r="I88" s="9" t="inlineStr"/>
    </row>
    <row r="89">
      <c r="A89" s="5" t="n">
        <v>88</v>
      </c>
      <c r="B89" s="6" t="str">
        <f>IFERROR(VLOOKUP($A89,参会名单!$A$2:$K$201,2,FALSE),"")</f>
        <v>董敏博</v>
      </c>
      <c r="C89" s="6" t="str">
        <f>IFERROR(VLOOKUP($A89,参会名单!$A$2:$K$201,3,FALSE),"")</f>
        <v>深蓝计算</v>
      </c>
      <c r="D89" s="7" t="str">
        <f>IFERROR(VLOOKUP($A89,参会名单!$A$2:$K$201,7,FALSE),"")</f>
        <v>标准</v>
      </c>
      <c r="E89" s="5" t="inlineStr">
        <is>
          <t>已签到</t>
        </is>
      </c>
      <c r="F89" s="8" t="n">
        <v>0.3881944444444445</v>
      </c>
      <c r="G89" s="5" t="inlineStr">
        <is>
          <t>前台登记</t>
        </is>
      </c>
      <c r="H89" s="5" t="inlineStr">
        <is>
          <t>是</t>
        </is>
      </c>
      <c r="I89" s="9" t="inlineStr"/>
    </row>
    <row r="90">
      <c r="A90" s="5" t="n">
        <v>89</v>
      </c>
      <c r="B90" s="6" t="str">
        <f>IFERROR(VLOOKUP($A90,参会名单!$A$2:$K$201,2,FALSE),"")</f>
        <v>陈秀</v>
      </c>
      <c r="C90" s="6" t="str">
        <f>IFERROR(VLOOKUP($A90,参会名单!$A$2:$K$201,3,FALSE),"")</f>
        <v>启元软件</v>
      </c>
      <c r="D90" s="7" t="str">
        <f>IFERROR(VLOOKUP($A90,参会名单!$A$2:$K$201,7,FALSE),"")</f>
        <v>标准</v>
      </c>
      <c r="E90" s="5" t="inlineStr">
        <is>
          <t>已签到</t>
        </is>
      </c>
      <c r="F90" s="8" t="n">
        <v>0.3736111111111111</v>
      </c>
      <c r="G90" s="5" t="inlineStr">
        <is>
          <t>人脸识别</t>
        </is>
      </c>
      <c r="H90" s="5" t="inlineStr">
        <is>
          <t>否</t>
        </is>
      </c>
      <c r="I90" s="9" t="inlineStr"/>
    </row>
    <row r="91">
      <c r="A91" s="5" t="n">
        <v>90</v>
      </c>
      <c r="B91" s="6" t="str">
        <f>IFERROR(VLOOKUP($A91,参会名单!$A$2:$K$201,2,FALSE),"")</f>
        <v>吴娟</v>
      </c>
      <c r="C91" s="6" t="str">
        <f>IFERROR(VLOOKUP($A91,参会名单!$A$2:$K$201,3,FALSE),"")</f>
        <v>蓝图网络</v>
      </c>
      <c r="D91" s="7" t="str">
        <f>IFERROR(VLOOKUP($A91,参会名单!$A$2:$K$201,7,FALSE),"")</f>
        <v>标准</v>
      </c>
      <c r="E91" s="5" t="inlineStr">
        <is>
          <t>请假</t>
        </is>
      </c>
      <c r="F91" s="8" t="n"/>
      <c r="G91" s="5" t="n"/>
      <c r="H91" s="5" t="inlineStr">
        <is>
          <t>否</t>
        </is>
      </c>
      <c r="I91" s="9" t="inlineStr"/>
    </row>
    <row r="92">
      <c r="A92" s="5" t="n">
        <v>91</v>
      </c>
      <c r="B92" s="6" t="str">
        <f>IFERROR(VLOOKUP($A92,参会名单!$A$2:$K$201,2,FALSE),"")</f>
        <v>黄嘉</v>
      </c>
      <c r="C92" s="6" t="str">
        <f>IFERROR(VLOOKUP($A92,参会名单!$A$2:$K$201,3,FALSE),"")</f>
        <v>领航智造</v>
      </c>
      <c r="D92" s="7" t="str">
        <f>IFERROR(VLOOKUP($A92,参会名单!$A$2:$K$201,7,FALSE),"")</f>
        <v>标准</v>
      </c>
      <c r="E92" s="5" t="inlineStr">
        <is>
          <t>未签到</t>
        </is>
      </c>
      <c r="F92" s="8" t="n"/>
      <c r="G92" s="5" t="n"/>
      <c r="H92" s="5" t="inlineStr">
        <is>
          <t>否</t>
        </is>
      </c>
      <c r="I92" s="9" t="inlineStr"/>
    </row>
    <row r="93">
      <c r="A93" s="5" t="n">
        <v>92</v>
      </c>
      <c r="B93" s="6" t="str">
        <f>IFERROR(VLOOKUP($A93,参会名单!$A$2:$K$201,2,FALSE),"")</f>
        <v>彭静宇</v>
      </c>
      <c r="C93" s="6" t="str">
        <f>IFERROR(VLOOKUP($A93,参会名单!$A$2:$K$201,3,FALSE),"")</f>
        <v>极光数据</v>
      </c>
      <c r="D93" s="7" t="str">
        <f>IFERROR(VLOOKUP($A93,参会名单!$A$2:$K$201,7,FALSE),"")</f>
        <v>标准</v>
      </c>
      <c r="E93" s="5" t="inlineStr">
        <is>
          <t>已签到</t>
        </is>
      </c>
      <c r="F93" s="8" t="n">
        <v>0.3416666666666667</v>
      </c>
      <c r="G93" s="5" t="inlineStr">
        <is>
          <t>人脸识别</t>
        </is>
      </c>
      <c r="H93" s="5" t="inlineStr">
        <is>
          <t>是</t>
        </is>
      </c>
      <c r="I93" s="9" t="inlineStr"/>
    </row>
    <row r="94">
      <c r="A94" s="5" t="n">
        <v>93</v>
      </c>
      <c r="B94" s="6" t="str">
        <f>IFERROR(VLOOKUP($A94,参会名单!$A$2:$K$201,2,FALSE),"")</f>
        <v>彭勇</v>
      </c>
      <c r="C94" s="6" t="str">
        <f>IFERROR(VLOOKUP($A94,参会名单!$A$2:$K$201,3,FALSE),"")</f>
        <v>云栖智能</v>
      </c>
      <c r="D94" s="7" t="str">
        <f>IFERROR(VLOOKUP($A94,参会名单!$A$2:$K$201,7,FALSE),"")</f>
        <v>标准</v>
      </c>
      <c r="E94" s="5" t="inlineStr">
        <is>
          <t>已签到</t>
        </is>
      </c>
      <c r="F94" s="8" t="n">
        <v>0.3763888888888889</v>
      </c>
      <c r="G94" s="5" t="inlineStr">
        <is>
          <t>扫码</t>
        </is>
      </c>
      <c r="H94" s="5" t="inlineStr">
        <is>
          <t>是</t>
        </is>
      </c>
      <c r="I94" s="9" t="inlineStr"/>
    </row>
    <row r="95">
      <c r="A95" s="5" t="n">
        <v>94</v>
      </c>
      <c r="B95" s="6" t="str">
        <f>IFERROR(VLOOKUP($A95,参会名单!$A$2:$K$201,2,FALSE),"")</f>
        <v>韩涛洋</v>
      </c>
      <c r="C95" s="6" t="str">
        <f>IFERROR(VLOOKUP($A95,参会名单!$A$2:$K$201,3,FALSE),"")</f>
        <v>智汇云</v>
      </c>
      <c r="D95" s="7" t="str">
        <f>IFERROR(VLOOKUP($A95,参会名单!$A$2:$K$201,7,FALSE),"")</f>
        <v>标准</v>
      </c>
      <c r="E95" s="5" t="inlineStr">
        <is>
          <t>已签到</t>
        </is>
      </c>
      <c r="F95" s="8" t="n">
        <v>0.4138888888888889</v>
      </c>
      <c r="G95" s="5" t="inlineStr">
        <is>
          <t>人脸识别</t>
        </is>
      </c>
      <c r="H95" s="5" t="inlineStr">
        <is>
          <t>是</t>
        </is>
      </c>
      <c r="I95" s="9" t="inlineStr"/>
    </row>
    <row r="96">
      <c r="A96" s="5" t="n">
        <v>95</v>
      </c>
      <c r="B96" s="6" t="str">
        <f>IFERROR(VLOOKUP($A96,参会名单!$A$2:$K$201,2,FALSE),"")</f>
        <v>蒋秀</v>
      </c>
      <c r="C96" s="6" t="str">
        <f>IFERROR(VLOOKUP($A96,参会名单!$A$2:$K$201,3,FALSE),"")</f>
        <v>云栖智能</v>
      </c>
      <c r="D96" s="7" t="str">
        <f>IFERROR(VLOOKUP($A96,参会名单!$A$2:$K$201,7,FALSE),"")</f>
        <v>标准</v>
      </c>
      <c r="E96" s="5" t="inlineStr">
        <is>
          <t>已签到</t>
        </is>
      </c>
      <c r="F96" s="8" t="n">
        <v>0.3513888888888889</v>
      </c>
      <c r="G96" s="5" t="inlineStr">
        <is>
          <t>人脸识别</t>
        </is>
      </c>
      <c r="H96" s="5" t="inlineStr">
        <is>
          <t>是</t>
        </is>
      </c>
      <c r="I96" s="9" t="inlineStr"/>
    </row>
    <row r="97">
      <c r="A97" s="5" t="n">
        <v>96</v>
      </c>
      <c r="B97" s="6" t="str">
        <f>IFERROR(VLOOKUP($A97,参会名单!$A$2:$K$201,2,FALSE),"")</f>
        <v>孙宁</v>
      </c>
      <c r="C97" s="6" t="str">
        <f>IFERROR(VLOOKUP($A97,参会名单!$A$2:$K$201,3,FALSE),"")</f>
        <v>南岭智联</v>
      </c>
      <c r="D97" s="7" t="str">
        <f>IFERROR(VLOOKUP($A97,参会名单!$A$2:$K$201,7,FALSE),"")</f>
        <v>标准</v>
      </c>
      <c r="E97" s="5" t="inlineStr">
        <is>
          <t>未签到</t>
        </is>
      </c>
      <c r="F97" s="8" t="n"/>
      <c r="G97" s="5" t="n"/>
      <c r="H97" s="5" t="inlineStr">
        <is>
          <t>否</t>
        </is>
      </c>
      <c r="I97" s="9" t="inlineStr"/>
    </row>
    <row r="98">
      <c r="A98" s="5" t="n">
        <v>97</v>
      </c>
      <c r="B98" s="6" t="str">
        <f>IFERROR(VLOOKUP($A98,参会名单!$A$2:$K$201,2,FALSE),"")</f>
        <v>黄秀</v>
      </c>
      <c r="C98" s="6" t="str">
        <f>IFERROR(VLOOKUP($A98,参会名单!$A$2:$K$201,3,FALSE),"")</f>
        <v>星瀚科技</v>
      </c>
      <c r="D98" s="7" t="str">
        <f>IFERROR(VLOOKUP($A98,参会名单!$A$2:$K$201,7,FALSE),"")</f>
        <v>标准</v>
      </c>
      <c r="E98" s="5" t="inlineStr">
        <is>
          <t>已签到</t>
        </is>
      </c>
      <c r="F98" s="8" t="n">
        <v>0.3875</v>
      </c>
      <c r="G98" s="5" t="inlineStr">
        <is>
          <t>人脸识别</t>
        </is>
      </c>
      <c r="H98" s="5" t="inlineStr">
        <is>
          <t>是</t>
        </is>
      </c>
      <c r="I98" s="9" t="inlineStr">
        <is>
          <t>对花生过敏，已单独备注</t>
        </is>
      </c>
    </row>
    <row r="99">
      <c r="A99" s="5" t="n">
        <v>98</v>
      </c>
      <c r="B99" s="6" t="str">
        <f>IFERROR(VLOOKUP($A99,参会名单!$A$2:$K$201,2,FALSE),"")</f>
        <v>曹宁</v>
      </c>
      <c r="C99" s="6" t="str">
        <f>IFERROR(VLOOKUP($A99,参会名单!$A$2:$K$201,3,FALSE),"")</f>
        <v>蜂巢科技</v>
      </c>
      <c r="D99" s="7" t="str">
        <f>IFERROR(VLOOKUP($A99,参会名单!$A$2:$K$201,7,FALSE),"")</f>
        <v>标准</v>
      </c>
      <c r="E99" s="5" t="inlineStr">
        <is>
          <t>已签到</t>
        </is>
      </c>
      <c r="F99" s="8" t="n">
        <v>0.3875</v>
      </c>
      <c r="G99" s="5" t="inlineStr">
        <is>
          <t>扫码</t>
        </is>
      </c>
      <c r="H99" s="5" t="inlineStr">
        <is>
          <t>是</t>
        </is>
      </c>
      <c r="I99" s="9" t="inlineStr"/>
    </row>
    <row r="100">
      <c r="A100" s="5" t="n">
        <v>99</v>
      </c>
      <c r="B100" s="6" t="str">
        <f>IFERROR(VLOOKUP($A100,参会名单!$A$2:$K$201,2,FALSE),"")</f>
        <v>马宇</v>
      </c>
      <c r="C100" s="6" t="str">
        <f>IFERROR(VLOOKUP($A100,参会名单!$A$2:$K$201,3,FALSE),"")</f>
        <v>云栖智能</v>
      </c>
      <c r="D100" s="7" t="str">
        <f>IFERROR(VLOOKUP($A100,参会名单!$A$2:$K$201,7,FALSE),"")</f>
        <v>标准</v>
      </c>
      <c r="E100" s="5" t="inlineStr">
        <is>
          <t>已签到</t>
        </is>
      </c>
      <c r="F100" s="8" t="n">
        <v>0.3472222222222222</v>
      </c>
      <c r="G100" s="5" t="inlineStr">
        <is>
          <t>扫码</t>
        </is>
      </c>
      <c r="H100" s="5" t="inlineStr">
        <is>
          <t>是</t>
        </is>
      </c>
      <c r="I100" s="9" t="inlineStr"/>
    </row>
    <row r="101">
      <c r="A101" s="5" t="n">
        <v>100</v>
      </c>
      <c r="B101" s="6" t="str">
        <f>IFERROR(VLOOKUP($A101,参会名单!$A$2:$K$201,2,FALSE),"")</f>
        <v>吴欣勇</v>
      </c>
      <c r="C101" s="6" t="str">
        <f>IFERROR(VLOOKUP($A101,参会名单!$A$2:$K$201,3,FALSE),"")</f>
        <v>蜂巢科技</v>
      </c>
      <c r="D101" s="7" t="str">
        <f>IFERROR(VLOOKUP($A101,参会名单!$A$2:$K$201,7,FALSE),"")</f>
        <v>标准</v>
      </c>
      <c r="E101" s="5" t="inlineStr">
        <is>
          <t>已签到</t>
        </is>
      </c>
      <c r="F101" s="8" t="n">
        <v>0.3625</v>
      </c>
      <c r="G101" s="5" t="inlineStr">
        <is>
          <t>人脸识别</t>
        </is>
      </c>
      <c r="H101" s="5" t="inlineStr">
        <is>
          <t>是</t>
        </is>
      </c>
      <c r="I101" s="9" t="inlineStr"/>
    </row>
    <row r="102">
      <c r="A102" s="5" t="n">
        <v>101</v>
      </c>
      <c r="B102" s="6" t="str">
        <f>IFERROR(VLOOKUP($A102,参会名单!$A$2:$K$201,2,FALSE),"")</f>
        <v>马丽雨</v>
      </c>
      <c r="C102" s="6" t="str">
        <f>IFERROR(VLOOKUP($A102,参会名单!$A$2:$K$201,3,FALSE),"")</f>
        <v>灵犀科技</v>
      </c>
      <c r="D102" s="7" t="str">
        <f>IFERROR(VLOOKUP($A102,参会名单!$A$2:$K$201,7,FALSE),"")</f>
        <v>标准</v>
      </c>
      <c r="E102" s="5" t="inlineStr">
        <is>
          <t>已签到</t>
        </is>
      </c>
      <c r="F102" s="8" t="n">
        <v>0.3965277777777778</v>
      </c>
      <c r="G102" s="5" t="inlineStr">
        <is>
          <t>扫码</t>
        </is>
      </c>
      <c r="H102" s="5" t="inlineStr">
        <is>
          <t>是</t>
        </is>
      </c>
      <c r="I102" s="9" t="inlineStr"/>
    </row>
    <row r="103">
      <c r="A103" s="5" t="n">
        <v>102</v>
      </c>
      <c r="B103" s="6" t="str">
        <f>IFERROR(VLOOKUP($A103,参会名单!$A$2:$K$201,2,FALSE),"")</f>
        <v>韩宇</v>
      </c>
      <c r="C103" s="6" t="str">
        <f>IFERROR(VLOOKUP($A103,参会名单!$A$2:$K$201,3,FALSE),"")</f>
        <v>深蓝计算</v>
      </c>
      <c r="D103" s="7" t="str">
        <f>IFERROR(VLOOKUP($A103,参会名单!$A$2:$K$201,7,FALSE),"")</f>
        <v>标准</v>
      </c>
      <c r="E103" s="5" t="inlineStr">
        <is>
          <t>未签到</t>
        </is>
      </c>
      <c r="F103" s="8" t="n"/>
      <c r="G103" s="5" t="n"/>
      <c r="H103" s="5" t="inlineStr">
        <is>
          <t>否</t>
        </is>
      </c>
      <c r="I103" s="9" t="inlineStr"/>
    </row>
    <row r="104">
      <c r="A104" s="5" t="n">
        <v>103</v>
      </c>
      <c r="B104" s="6" t="str">
        <f>IFERROR(VLOOKUP($A104,参会名单!$A$2:$K$201,2,FALSE),"")</f>
        <v>潘嘉</v>
      </c>
      <c r="C104" s="6" t="str">
        <f>IFERROR(VLOOKUP($A104,参会名单!$A$2:$K$201,3,FALSE),"")</f>
        <v>智汇云</v>
      </c>
      <c r="D104" s="7" t="str">
        <f>IFERROR(VLOOKUP($A104,参会名单!$A$2:$K$201,7,FALSE),"")</f>
        <v>标准</v>
      </c>
      <c r="E104" s="5" t="inlineStr">
        <is>
          <t>已签到</t>
        </is>
      </c>
      <c r="F104" s="8" t="n">
        <v>0.3451388888888889</v>
      </c>
      <c r="G104" s="5" t="inlineStr">
        <is>
          <t>前台登记</t>
        </is>
      </c>
      <c r="H104" s="5" t="inlineStr">
        <is>
          <t>是</t>
        </is>
      </c>
      <c r="I104" s="9" t="inlineStr">
        <is>
          <t>赞助商展位对接人</t>
        </is>
      </c>
    </row>
    <row r="105">
      <c r="A105" s="5" t="n">
        <v>104</v>
      </c>
      <c r="B105" s="6" t="str">
        <f>IFERROR(VLOOKUP($A105,参会名单!$A$2:$K$201,2,FALSE),"")</f>
        <v>黄艳娟</v>
      </c>
      <c r="C105" s="6" t="str">
        <f>IFERROR(VLOOKUP($A105,参会名单!$A$2:$K$201,3,FALSE),"")</f>
        <v>蜂巢科技</v>
      </c>
      <c r="D105" s="7" t="str">
        <f>IFERROR(VLOOKUP($A105,参会名单!$A$2:$K$201,7,FALSE),"")</f>
        <v>标准</v>
      </c>
      <c r="E105" s="5" t="inlineStr">
        <is>
          <t>已签到</t>
        </is>
      </c>
      <c r="F105" s="8" t="n">
        <v>0.3875</v>
      </c>
      <c r="G105" s="5" t="inlineStr">
        <is>
          <t>扫码</t>
        </is>
      </c>
      <c r="H105" s="5" t="inlineStr">
        <is>
          <t>是</t>
        </is>
      </c>
      <c r="I105" s="9" t="inlineStr"/>
    </row>
    <row r="106">
      <c r="A106" s="5" t="n">
        <v>105</v>
      </c>
      <c r="B106" s="6" t="str">
        <f>IFERROR(VLOOKUP($A106,参会名单!$A$2:$K$201,2,FALSE),"")</f>
        <v>何子秀</v>
      </c>
      <c r="C106" s="6" t="str">
        <f>IFERROR(VLOOKUP($A106,参会名单!$A$2:$K$201,3,FALSE),"")</f>
        <v>蓝图网络</v>
      </c>
      <c r="D106" s="7" t="str">
        <f>IFERROR(VLOOKUP($A106,参会名单!$A$2:$K$201,7,FALSE),"")</f>
        <v>标准</v>
      </c>
      <c r="E106" s="5" t="inlineStr">
        <is>
          <t>未签到</t>
        </is>
      </c>
      <c r="F106" s="8" t="n"/>
      <c r="G106" s="5" t="n"/>
      <c r="H106" s="5" t="inlineStr">
        <is>
          <t>否</t>
        </is>
      </c>
      <c r="I106" s="9" t="inlineStr"/>
    </row>
    <row r="107">
      <c r="A107" s="5" t="n">
        <v>106</v>
      </c>
      <c r="B107" s="6" t="str">
        <f>IFERROR(VLOOKUP($A107,参会名单!$A$2:$K$201,2,FALSE),"")</f>
        <v>何艳超</v>
      </c>
      <c r="C107" s="6" t="str">
        <f>IFERROR(VLOOKUP($A107,参会名单!$A$2:$K$201,3,FALSE),"")</f>
        <v>领航智造</v>
      </c>
      <c r="D107" s="7" t="str">
        <f>IFERROR(VLOOKUP($A107,参会名单!$A$2:$K$201,7,FALSE),"")</f>
        <v>标准</v>
      </c>
      <c r="E107" s="5" t="inlineStr">
        <is>
          <t>已签到</t>
        </is>
      </c>
      <c r="F107" s="8" t="n">
        <v>0.3743055555555556</v>
      </c>
      <c r="G107" s="5" t="inlineStr">
        <is>
          <t>扫码</t>
        </is>
      </c>
      <c r="H107" s="5" t="inlineStr">
        <is>
          <t>是</t>
        </is>
      </c>
      <c r="I107" s="9" t="inlineStr">
        <is>
          <t>提前离场，下午不参加</t>
        </is>
      </c>
    </row>
    <row r="108">
      <c r="A108" s="5" t="n">
        <v>107</v>
      </c>
      <c r="B108" s="6" t="str">
        <f>IFERROR(VLOOKUP($A108,参会名单!$A$2:$K$201,2,FALSE),"")</f>
        <v>韩明</v>
      </c>
      <c r="C108" s="6" t="str">
        <f>IFERROR(VLOOKUP($A108,参会名单!$A$2:$K$201,3,FALSE),"")</f>
        <v>启元软件</v>
      </c>
      <c r="D108" s="7" t="str">
        <f>IFERROR(VLOOKUP($A108,参会名单!$A$2:$K$201,7,FALSE),"")</f>
        <v>标准</v>
      </c>
      <c r="E108" s="5" t="inlineStr">
        <is>
          <t>已签到</t>
        </is>
      </c>
      <c r="F108" s="8" t="n">
        <v>0.3798611111111111</v>
      </c>
      <c r="G108" s="5" t="inlineStr">
        <is>
          <t>扫码</t>
        </is>
      </c>
      <c r="H108" s="5" t="inlineStr">
        <is>
          <t>是</t>
        </is>
      </c>
      <c r="I108" s="9" t="inlineStr"/>
    </row>
    <row r="109">
      <c r="A109" s="5" t="n">
        <v>108</v>
      </c>
      <c r="B109" s="6" t="str">
        <f>IFERROR(VLOOKUP($A109,参会名单!$A$2:$K$201,2,FALSE),"")</f>
        <v>王洋芳</v>
      </c>
      <c r="C109" s="6" t="str">
        <f>IFERROR(VLOOKUP($A109,参会名单!$A$2:$K$201,3,FALSE),"")</f>
        <v>天工智能</v>
      </c>
      <c r="D109" s="7" t="str">
        <f>IFERROR(VLOOKUP($A109,参会名单!$A$2:$K$201,7,FALSE),"")</f>
        <v>标准</v>
      </c>
      <c r="E109" s="5" t="inlineStr">
        <is>
          <t>已签到</t>
        </is>
      </c>
      <c r="F109" s="8" t="n">
        <v>0.3611111111111111</v>
      </c>
      <c r="G109" s="5" t="inlineStr">
        <is>
          <t>扫码</t>
        </is>
      </c>
      <c r="H109" s="5" t="inlineStr">
        <is>
          <t>是</t>
        </is>
      </c>
      <c r="I109" s="9" t="inlineStr"/>
    </row>
    <row r="110">
      <c r="A110" s="5" t="n">
        <v>109</v>
      </c>
      <c r="B110" s="6" t="str">
        <f>IFERROR(VLOOKUP($A110,参会名单!$A$2:$K$201,2,FALSE),"")</f>
        <v>潘文</v>
      </c>
      <c r="C110" s="6" t="str">
        <f>IFERROR(VLOOKUP($A110,参会名单!$A$2:$K$201,3,FALSE),"")</f>
        <v>南岭智联</v>
      </c>
      <c r="D110" s="7" t="str">
        <f>IFERROR(VLOOKUP($A110,参会名单!$A$2:$K$201,7,FALSE),"")</f>
        <v>标准</v>
      </c>
      <c r="E110" s="5" t="inlineStr">
        <is>
          <t>已签到</t>
        </is>
      </c>
      <c r="F110" s="8" t="n">
        <v>0.3756944444444444</v>
      </c>
      <c r="G110" s="5" t="inlineStr">
        <is>
          <t>人脸识别</t>
        </is>
      </c>
      <c r="H110" s="5" t="inlineStr">
        <is>
          <t>是</t>
        </is>
      </c>
      <c r="I110" s="9" t="inlineStr">
        <is>
          <t>对花生过敏，已单独备注</t>
        </is>
      </c>
    </row>
    <row r="111">
      <c r="A111" s="5" t="n">
        <v>110</v>
      </c>
      <c r="B111" s="6" t="str">
        <f>IFERROR(VLOOKUP($A111,参会名单!$A$2:$K$201,2,FALSE),"")</f>
        <v>郭涛洋</v>
      </c>
      <c r="C111" s="6" t="str">
        <f>IFERROR(VLOOKUP($A111,参会名单!$A$2:$K$201,3,FALSE),"")</f>
        <v>蓝图网络</v>
      </c>
      <c r="D111" s="7" t="str">
        <f>IFERROR(VLOOKUP($A111,参会名单!$A$2:$K$201,7,FALSE),"")</f>
        <v>标准</v>
      </c>
      <c r="E111" s="5" t="inlineStr">
        <is>
          <t>已签到</t>
        </is>
      </c>
      <c r="F111" s="8" t="n">
        <v>0.375</v>
      </c>
      <c r="G111" s="5" t="inlineStr">
        <is>
          <t>人脸识别</t>
        </is>
      </c>
      <c r="H111" s="5" t="inlineStr">
        <is>
          <t>是</t>
        </is>
      </c>
      <c r="I111" s="9" t="inlineStr"/>
    </row>
    <row r="112">
      <c r="A112" s="5" t="n">
        <v>111</v>
      </c>
      <c r="B112" s="6" t="str">
        <f>IFERROR(VLOOKUP($A112,参会名单!$A$2:$K$201,2,FALSE),"")</f>
        <v>彭雨</v>
      </c>
      <c r="C112" s="6" t="str">
        <f>IFERROR(VLOOKUP($A112,参会名单!$A$2:$K$201,3,FALSE),"")</f>
        <v>云栖智能</v>
      </c>
      <c r="D112" s="7" t="str">
        <f>IFERROR(VLOOKUP($A112,参会名单!$A$2:$K$201,7,FALSE),"")</f>
        <v>标准</v>
      </c>
      <c r="E112" s="5" t="inlineStr">
        <is>
          <t>已签到</t>
        </is>
      </c>
      <c r="F112" s="8" t="n">
        <v>0.4840277777777778</v>
      </c>
      <c r="G112" s="5" t="inlineStr">
        <is>
          <t>扫码</t>
        </is>
      </c>
      <c r="H112" s="5" t="inlineStr">
        <is>
          <t>是</t>
        </is>
      </c>
      <c r="I112" s="9" t="inlineStr"/>
    </row>
    <row r="113">
      <c r="A113" s="5" t="n">
        <v>112</v>
      </c>
      <c r="B113" s="6" t="str">
        <f>IFERROR(VLOOKUP($A113,参会名单!$A$2:$K$201,2,FALSE),"")</f>
        <v>郭雨明</v>
      </c>
      <c r="C113" s="6" t="str">
        <f>IFERROR(VLOOKUP($A113,参会名单!$A$2:$K$201,3,FALSE),"")</f>
        <v>蓝图网络</v>
      </c>
      <c r="D113" s="7" t="str">
        <f>IFERROR(VLOOKUP($A113,参会名单!$A$2:$K$201,7,FALSE),"")</f>
        <v>标准</v>
      </c>
      <c r="E113" s="5" t="inlineStr">
        <is>
          <t>未签到</t>
        </is>
      </c>
      <c r="F113" s="8" t="n"/>
      <c r="G113" s="5" t="n"/>
      <c r="H113" s="5" t="inlineStr">
        <is>
          <t>否</t>
        </is>
      </c>
      <c r="I113" s="9" t="inlineStr"/>
    </row>
    <row r="114">
      <c r="A114" s="5" t="n">
        <v>113</v>
      </c>
      <c r="B114" s="6" t="str">
        <f>IFERROR(VLOOKUP($A114,参会名单!$A$2:$K$201,2,FALSE),"")</f>
        <v>刘娟杰</v>
      </c>
      <c r="C114" s="6" t="str">
        <f>IFERROR(VLOOKUP($A114,参会名单!$A$2:$K$201,3,FALSE),"")</f>
        <v>灵犀科技</v>
      </c>
      <c r="D114" s="7" t="str">
        <f>IFERROR(VLOOKUP($A114,参会名单!$A$2:$K$201,7,FALSE),"")</f>
        <v>标准</v>
      </c>
      <c r="E114" s="5" t="inlineStr">
        <is>
          <t>未签到</t>
        </is>
      </c>
      <c r="F114" s="8" t="n"/>
      <c r="G114" s="5" t="n"/>
      <c r="H114" s="5" t="inlineStr">
        <is>
          <t>否</t>
        </is>
      </c>
      <c r="I114" s="9" t="inlineStr"/>
    </row>
    <row r="115">
      <c r="A115" s="5" t="n">
        <v>114</v>
      </c>
      <c r="B115" s="6" t="str">
        <f>IFERROR(VLOOKUP($A115,参会名单!$A$2:$K$201,2,FALSE),"")</f>
        <v>蒋涛</v>
      </c>
      <c r="C115" s="6" t="str">
        <f>IFERROR(VLOOKUP($A115,参会名单!$A$2:$K$201,3,FALSE),"")</f>
        <v>智汇云</v>
      </c>
      <c r="D115" s="7" t="str">
        <f>IFERROR(VLOOKUP($A115,参会名单!$A$2:$K$201,7,FALSE),"")</f>
        <v>标准</v>
      </c>
      <c r="E115" s="5" t="inlineStr">
        <is>
          <t>已签到</t>
        </is>
      </c>
      <c r="F115" s="8" t="n">
        <v>0.3986111111111111</v>
      </c>
      <c r="G115" s="5" t="inlineStr">
        <is>
          <t>扫码</t>
        </is>
      </c>
      <c r="H115" s="5" t="inlineStr">
        <is>
          <t>是</t>
        </is>
      </c>
      <c r="I115" s="9" t="inlineStr"/>
    </row>
    <row r="116">
      <c r="A116" s="5" t="n">
        <v>115</v>
      </c>
      <c r="B116" s="6" t="str">
        <f>IFERROR(VLOOKUP($A116,参会名单!$A$2:$K$201,2,FALSE),"")</f>
        <v>蒋怡</v>
      </c>
      <c r="C116" s="6" t="str">
        <f>IFERROR(VLOOKUP($A116,参会名单!$A$2:$K$201,3,FALSE),"")</f>
        <v>云栖智能</v>
      </c>
      <c r="D116" s="7" t="str">
        <f>IFERROR(VLOOKUP($A116,参会名单!$A$2:$K$201,7,FALSE),"")</f>
        <v>标准</v>
      </c>
      <c r="E116" s="5" t="inlineStr">
        <is>
          <t>未签到</t>
        </is>
      </c>
      <c r="F116" s="8" t="n"/>
      <c r="G116" s="5" t="n"/>
      <c r="H116" s="5" t="inlineStr">
        <is>
          <t>否</t>
        </is>
      </c>
      <c r="I116" s="9" t="inlineStr">
        <is>
          <t>需预留前排座位</t>
        </is>
      </c>
    </row>
    <row r="117">
      <c r="A117" s="5" t="n">
        <v>116</v>
      </c>
      <c r="B117" s="6" t="str">
        <f>IFERROR(VLOOKUP($A117,参会名单!$A$2:$K$201,2,FALSE),"")</f>
        <v>赵文</v>
      </c>
      <c r="C117" s="6" t="str">
        <f>IFERROR(VLOOKUP($A117,参会名单!$A$2:$K$201,3,FALSE),"")</f>
        <v>光合数字</v>
      </c>
      <c r="D117" s="7" t="str">
        <f>IFERROR(VLOOKUP($A117,参会名单!$A$2:$K$201,7,FALSE),"")</f>
        <v>标准</v>
      </c>
      <c r="E117" s="5" t="inlineStr">
        <is>
          <t>已签到</t>
        </is>
      </c>
      <c r="F117" s="8" t="n">
        <v>0.3979166666666666</v>
      </c>
      <c r="G117" s="5" t="inlineStr">
        <is>
          <t>扫码</t>
        </is>
      </c>
      <c r="H117" s="5" t="inlineStr">
        <is>
          <t>是</t>
        </is>
      </c>
      <c r="I117" s="9" t="inlineStr">
        <is>
          <t>提前离场，下午不参加</t>
        </is>
      </c>
    </row>
    <row r="118">
      <c r="A118" s="5" t="n">
        <v>117</v>
      </c>
      <c r="B118" s="6" t="str">
        <f>IFERROR(VLOOKUP($A118,参会名单!$A$2:$K$201,2,FALSE),"")</f>
        <v>梁明泽</v>
      </c>
      <c r="C118" s="6" t="str">
        <f>IFERROR(VLOOKUP($A118,参会名单!$A$2:$K$201,3,FALSE),"")</f>
        <v>星瀚科技</v>
      </c>
      <c r="D118" s="7" t="str">
        <f>IFERROR(VLOOKUP($A118,参会名单!$A$2:$K$201,7,FALSE),"")</f>
        <v>标准</v>
      </c>
      <c r="E118" s="5" t="inlineStr">
        <is>
          <t>已签到</t>
        </is>
      </c>
      <c r="F118" s="8" t="n">
        <v>0.3340277777777778</v>
      </c>
      <c r="G118" s="5" t="inlineStr">
        <is>
          <t>扫码</t>
        </is>
      </c>
      <c r="H118" s="5" t="inlineStr">
        <is>
          <t>是</t>
        </is>
      </c>
      <c r="I118" s="9" t="inlineStr">
        <is>
          <t>需预留前排座位</t>
        </is>
      </c>
    </row>
    <row r="119">
      <c r="A119" s="5" t="n">
        <v>118</v>
      </c>
      <c r="B119" s="6" t="str">
        <f>IFERROR(VLOOKUP($A119,参会名单!$A$2:$K$201,2,FALSE),"")</f>
        <v>林涛彤</v>
      </c>
      <c r="C119" s="6" t="str">
        <f>IFERROR(VLOOKUP($A119,参会名单!$A$2:$K$201,3,FALSE),"")</f>
        <v>南岭智联</v>
      </c>
      <c r="D119" s="7" t="str">
        <f>IFERROR(VLOOKUP($A119,参会名单!$A$2:$K$201,7,FALSE),"")</f>
        <v>标准</v>
      </c>
      <c r="E119" s="5" t="inlineStr">
        <is>
          <t>已签到</t>
        </is>
      </c>
      <c r="F119" s="8" t="n">
        <v>0.4020833333333333</v>
      </c>
      <c r="G119" s="5" t="inlineStr">
        <is>
          <t>人脸识别</t>
        </is>
      </c>
      <c r="H119" s="5" t="inlineStr">
        <is>
          <t>是</t>
        </is>
      </c>
      <c r="I119" s="9" t="inlineStr"/>
    </row>
    <row r="120">
      <c r="A120" s="5" t="n">
        <v>119</v>
      </c>
      <c r="B120" s="6" t="str">
        <f>IFERROR(VLOOKUP($A120,参会名单!$A$2:$K$201,2,FALSE),"")</f>
        <v>董子</v>
      </c>
      <c r="C120" s="6" t="str">
        <f>IFERROR(VLOOKUP($A120,参会名单!$A$2:$K$201,3,FALSE),"")</f>
        <v>星瀚科技</v>
      </c>
      <c r="D120" s="7" t="str">
        <f>IFERROR(VLOOKUP($A120,参会名单!$A$2:$K$201,7,FALSE),"")</f>
        <v>标准</v>
      </c>
      <c r="E120" s="5" t="inlineStr">
        <is>
          <t>已签到</t>
        </is>
      </c>
      <c r="F120" s="8" t="n">
        <v>0.3368055555555556</v>
      </c>
      <c r="G120" s="5" t="inlineStr">
        <is>
          <t>人脸识别</t>
        </is>
      </c>
      <c r="H120" s="5" t="inlineStr">
        <is>
          <t>是</t>
        </is>
      </c>
      <c r="I120" s="9" t="inlineStr"/>
    </row>
    <row r="121">
      <c r="A121" s="5" t="n">
        <v>120</v>
      </c>
      <c r="B121" s="6" t="str">
        <f>IFERROR(VLOOKUP($A121,参会名单!$A$2:$K$201,2,FALSE),"")</f>
        <v>曹杰</v>
      </c>
      <c r="C121" s="6" t="str">
        <f>IFERROR(VLOOKUP($A121,参会名单!$A$2:$K$201,3,FALSE),"")</f>
        <v>星瀚科技</v>
      </c>
      <c r="D121" s="7" t="str">
        <f>IFERROR(VLOOKUP($A121,参会名单!$A$2:$K$201,7,FALSE),"")</f>
        <v>标准</v>
      </c>
      <c r="E121" s="5" t="inlineStr">
        <is>
          <t>未签到</t>
        </is>
      </c>
      <c r="F121" s="8" t="n"/>
      <c r="G121" s="5" t="n"/>
      <c r="H121" s="5" t="inlineStr">
        <is>
          <t>否</t>
        </is>
      </c>
      <c r="I121" s="9" t="inlineStr"/>
    </row>
    <row r="122">
      <c r="A122" s="5" t="n">
        <v>121</v>
      </c>
      <c r="B122" s="6" t="str">
        <f>IFERROR(VLOOKUP($A122,参会名单!$A$2:$K$201,2,FALSE),"")</f>
        <v>蒋芳</v>
      </c>
      <c r="C122" s="6" t="str">
        <f>IFERROR(VLOOKUP($A122,参会名单!$A$2:$K$201,3,FALSE),"")</f>
        <v>蓝图网络</v>
      </c>
      <c r="D122" s="7" t="str">
        <f>IFERROR(VLOOKUP($A122,参会名单!$A$2:$K$201,7,FALSE),"")</f>
        <v>标准</v>
      </c>
      <c r="E122" s="5" t="inlineStr">
        <is>
          <t>已签到</t>
        </is>
      </c>
      <c r="F122" s="8" t="n">
        <v>0.4319444444444445</v>
      </c>
      <c r="G122" s="5" t="inlineStr">
        <is>
          <t>扫码</t>
        </is>
      </c>
      <c r="H122" s="5" t="inlineStr">
        <is>
          <t>是</t>
        </is>
      </c>
      <c r="I122" s="9" t="inlineStr"/>
    </row>
    <row r="123">
      <c r="A123" s="5" t="n">
        <v>122</v>
      </c>
      <c r="B123" s="6" t="str">
        <f>IFERROR(VLOOKUP($A123,参会名单!$A$2:$K$201,2,FALSE),"")</f>
        <v>唐涵</v>
      </c>
      <c r="C123" s="6" t="str">
        <f>IFERROR(VLOOKUP($A123,参会名单!$A$2:$K$201,3,FALSE),"")</f>
        <v>天工智能</v>
      </c>
      <c r="D123" s="7" t="str">
        <f>IFERROR(VLOOKUP($A123,参会名单!$A$2:$K$201,7,FALSE),"")</f>
        <v>标准</v>
      </c>
      <c r="E123" s="5" t="inlineStr">
        <is>
          <t>已签到</t>
        </is>
      </c>
      <c r="F123" s="8" t="n">
        <v>0.3666666666666666</v>
      </c>
      <c r="G123" s="5" t="inlineStr">
        <is>
          <t>扫码</t>
        </is>
      </c>
      <c r="H123" s="5" t="inlineStr">
        <is>
          <t>是</t>
        </is>
      </c>
      <c r="I123" s="9" t="inlineStr"/>
    </row>
    <row r="124">
      <c r="A124" s="5" t="n">
        <v>123</v>
      </c>
      <c r="B124" s="6" t="str">
        <f>IFERROR(VLOOKUP($A124,参会名单!$A$2:$K$201,2,FALSE),"")</f>
        <v>宋霞</v>
      </c>
      <c r="C124" s="6" t="str">
        <f>IFERROR(VLOOKUP($A124,参会名单!$A$2:$K$201,3,FALSE),"")</f>
        <v>智汇云</v>
      </c>
      <c r="D124" s="7" t="str">
        <f>IFERROR(VLOOKUP($A124,参会名单!$A$2:$K$201,7,FALSE),"")</f>
        <v>标准</v>
      </c>
      <c r="E124" s="5" t="inlineStr">
        <is>
          <t>已签到</t>
        </is>
      </c>
      <c r="F124" s="8" t="n">
        <v>0.3583333333333333</v>
      </c>
      <c r="G124" s="5" t="inlineStr">
        <is>
          <t>扫码</t>
        </is>
      </c>
      <c r="H124" s="5" t="inlineStr">
        <is>
          <t>是</t>
        </is>
      </c>
      <c r="I124" s="9" t="inlineStr"/>
    </row>
    <row r="125">
      <c r="A125" s="5" t="n">
        <v>124</v>
      </c>
      <c r="B125" s="6" t="str">
        <f>IFERROR(VLOOKUP($A125,参会名单!$A$2:$K$201,2,FALSE),"")</f>
        <v>杨雨睿</v>
      </c>
      <c r="C125" s="6" t="str">
        <f>IFERROR(VLOOKUP($A125,参会名单!$A$2:$K$201,3,FALSE),"")</f>
        <v>星瀚科技</v>
      </c>
      <c r="D125" s="7" t="str">
        <f>IFERROR(VLOOKUP($A125,参会名单!$A$2:$K$201,7,FALSE),"")</f>
        <v>标准</v>
      </c>
      <c r="E125" s="5" t="inlineStr">
        <is>
          <t>已签到</t>
        </is>
      </c>
      <c r="F125" s="8" t="n">
        <v>0.3993055555555556</v>
      </c>
      <c r="G125" s="5" t="inlineStr">
        <is>
          <t>扫码</t>
        </is>
      </c>
      <c r="H125" s="5" t="inlineStr">
        <is>
          <t>是</t>
        </is>
      </c>
      <c r="I125" s="9" t="inlineStr"/>
    </row>
    <row r="126">
      <c r="A126" s="5" t="n">
        <v>125</v>
      </c>
      <c r="B126" s="6" t="str">
        <f>IFERROR(VLOOKUP($A126,参会名单!$A$2:$K$201,2,FALSE),"")</f>
        <v>孙平</v>
      </c>
      <c r="C126" s="6" t="str">
        <f>IFERROR(VLOOKUP($A126,参会名单!$A$2:$K$201,3,FALSE),"")</f>
        <v>领航智造</v>
      </c>
      <c r="D126" s="7" t="str">
        <f>IFERROR(VLOOKUP($A126,参会名单!$A$2:$K$201,7,FALSE),"")</f>
        <v>标准</v>
      </c>
      <c r="E126" s="5" t="inlineStr">
        <is>
          <t>已签到</t>
        </is>
      </c>
      <c r="F126" s="8" t="n">
        <v>0.3805555555555555</v>
      </c>
      <c r="G126" s="5" t="inlineStr">
        <is>
          <t>前台登记</t>
        </is>
      </c>
      <c r="H126" s="5" t="inlineStr">
        <is>
          <t>是</t>
        </is>
      </c>
      <c r="I126" s="9" t="inlineStr"/>
    </row>
    <row r="127">
      <c r="A127" s="5" t="n">
        <v>126</v>
      </c>
      <c r="B127" s="6" t="str">
        <f>IFERROR(VLOOKUP($A127,参会名单!$A$2:$K$201,2,FALSE),"")</f>
        <v>杨霞杰</v>
      </c>
      <c r="C127" s="6" t="str">
        <f>IFERROR(VLOOKUP($A127,参会名单!$A$2:$K$201,3,FALSE),"")</f>
        <v>领航智造</v>
      </c>
      <c r="D127" s="7" t="str">
        <f>IFERROR(VLOOKUP($A127,参会名单!$A$2:$K$201,7,FALSE),"")</f>
        <v>标准</v>
      </c>
      <c r="E127" s="5" t="inlineStr">
        <is>
          <t>已签到</t>
        </is>
      </c>
      <c r="F127" s="8" t="n">
        <v>0.3763888888888889</v>
      </c>
      <c r="G127" s="5" t="inlineStr">
        <is>
          <t>扫码</t>
        </is>
      </c>
      <c r="H127" s="5" t="inlineStr">
        <is>
          <t>是</t>
        </is>
      </c>
      <c r="I127" s="9" t="inlineStr"/>
    </row>
    <row r="128">
      <c r="A128" s="5" t="n">
        <v>127</v>
      </c>
      <c r="B128" s="6" t="str">
        <f>IFERROR(VLOOKUP($A128,参会名单!$A$2:$K$201,2,FALSE),"")</f>
        <v>周磊</v>
      </c>
      <c r="C128" s="6" t="str">
        <f>IFERROR(VLOOKUP($A128,参会名单!$A$2:$K$201,3,FALSE),"")</f>
        <v>星环动力</v>
      </c>
      <c r="D128" s="7" t="str">
        <f>IFERROR(VLOOKUP($A128,参会名单!$A$2:$K$201,7,FALSE),"")</f>
        <v>标准</v>
      </c>
      <c r="E128" s="5" t="inlineStr">
        <is>
          <t>已签到</t>
        </is>
      </c>
      <c r="F128" s="8" t="n">
        <v>0.4375</v>
      </c>
      <c r="G128" s="5" t="inlineStr">
        <is>
          <t>扫码</t>
        </is>
      </c>
      <c r="H128" s="5" t="inlineStr">
        <is>
          <t>是</t>
        </is>
      </c>
      <c r="I128" s="9" t="inlineStr"/>
    </row>
    <row r="129">
      <c r="A129" s="5" t="n">
        <v>128</v>
      </c>
      <c r="B129" s="6" t="str">
        <f>IFERROR(VLOOKUP($A129,参会名单!$A$2:$K$201,2,FALSE),"")</f>
        <v>马睿超</v>
      </c>
      <c r="C129" s="6" t="str">
        <f>IFERROR(VLOOKUP($A129,参会名单!$A$2:$K$201,3,FALSE),"")</f>
        <v>智汇云</v>
      </c>
      <c r="D129" s="7" t="str">
        <f>IFERROR(VLOOKUP($A129,参会名单!$A$2:$K$201,7,FALSE),"")</f>
        <v>标准</v>
      </c>
      <c r="E129" s="5" t="inlineStr">
        <is>
          <t>未签到</t>
        </is>
      </c>
      <c r="F129" s="8" t="n"/>
      <c r="G129" s="5" t="n"/>
      <c r="H129" s="5" t="inlineStr">
        <is>
          <t>否</t>
        </is>
      </c>
      <c r="I129" s="9" t="inlineStr"/>
    </row>
    <row r="130">
      <c r="A130" s="5" t="n">
        <v>129</v>
      </c>
      <c r="B130" s="6" t="str">
        <f>IFERROR(VLOOKUP($A130,参会名单!$A$2:$K$201,2,FALSE),"")</f>
        <v>董丽嘉</v>
      </c>
      <c r="C130" s="6" t="str">
        <f>IFERROR(VLOOKUP($A130,参会名单!$A$2:$K$201,3,FALSE),"")</f>
        <v>蜂巢科技</v>
      </c>
      <c r="D130" s="7" t="str">
        <f>IFERROR(VLOOKUP($A130,参会名单!$A$2:$K$201,7,FALSE),"")</f>
        <v>标准</v>
      </c>
      <c r="E130" s="5" t="inlineStr">
        <is>
          <t>未签到</t>
        </is>
      </c>
      <c r="F130" s="8" t="n"/>
      <c r="G130" s="5" t="n"/>
      <c r="H130" s="5" t="inlineStr">
        <is>
          <t>否</t>
        </is>
      </c>
      <c r="I130" s="9" t="inlineStr"/>
    </row>
    <row r="131">
      <c r="A131" s="5" t="n">
        <v>130</v>
      </c>
      <c r="B131" s="6" t="str">
        <f>IFERROR(VLOOKUP($A131,参会名单!$A$2:$K$201,2,FALSE),"")</f>
        <v>冯娟怡</v>
      </c>
      <c r="C131" s="6" t="str">
        <f>IFERROR(VLOOKUP($A131,参会名单!$A$2:$K$201,3,FALSE),"")</f>
        <v>微光信息</v>
      </c>
      <c r="D131" s="7" t="str">
        <f>IFERROR(VLOOKUP($A131,参会名单!$A$2:$K$201,7,FALSE),"")</f>
        <v>标准</v>
      </c>
      <c r="E131" s="5" t="inlineStr">
        <is>
          <t>已签到</t>
        </is>
      </c>
      <c r="F131" s="8" t="n">
        <v>0.3652777777777778</v>
      </c>
      <c r="G131" s="5" t="inlineStr">
        <is>
          <t>前台登记</t>
        </is>
      </c>
      <c r="H131" s="5" t="inlineStr">
        <is>
          <t>是</t>
        </is>
      </c>
      <c r="I131" s="9" t="inlineStr"/>
    </row>
    <row r="132">
      <c r="A132" s="5" t="n">
        <v>131</v>
      </c>
      <c r="B132" s="6" t="str">
        <f>IFERROR(VLOOKUP($A132,参会名单!$A$2:$K$201,2,FALSE),"")</f>
        <v>黄彤</v>
      </c>
      <c r="C132" s="6" t="str">
        <f>IFERROR(VLOOKUP($A132,参会名单!$A$2:$K$201,3,FALSE),"")</f>
        <v>蓝图网络</v>
      </c>
      <c r="D132" s="7" t="str">
        <f>IFERROR(VLOOKUP($A132,参会名单!$A$2:$K$201,7,FALSE),"")</f>
        <v>标准</v>
      </c>
      <c r="E132" s="5" t="inlineStr">
        <is>
          <t>已签到</t>
        </is>
      </c>
      <c r="F132" s="8" t="n">
        <v>0.3583333333333333</v>
      </c>
      <c r="G132" s="5" t="inlineStr">
        <is>
          <t>人脸识别</t>
        </is>
      </c>
      <c r="H132" s="5" t="inlineStr">
        <is>
          <t>是</t>
        </is>
      </c>
      <c r="I132" s="9" t="inlineStr"/>
    </row>
    <row r="133">
      <c r="A133" s="5" t="n">
        <v>132</v>
      </c>
      <c r="B133" s="6" t="str">
        <f>IFERROR(VLOOKUP($A133,参会名单!$A$2:$K$201,2,FALSE),"")</f>
        <v>孙敏</v>
      </c>
      <c r="C133" s="6" t="str">
        <f>IFERROR(VLOOKUP($A133,参会名单!$A$2:$K$201,3,FALSE),"")</f>
        <v>蜂巢科技</v>
      </c>
      <c r="D133" s="7" t="str">
        <f>IFERROR(VLOOKUP($A133,参会名单!$A$2:$K$201,7,FALSE),"")</f>
        <v>标准</v>
      </c>
      <c r="E133" s="5" t="inlineStr">
        <is>
          <t>已签到</t>
        </is>
      </c>
      <c r="F133" s="8" t="n">
        <v>0.4118055555555555</v>
      </c>
      <c r="G133" s="5" t="inlineStr">
        <is>
          <t>扫码</t>
        </is>
      </c>
      <c r="H133" s="5" t="inlineStr">
        <is>
          <t>是</t>
        </is>
      </c>
      <c r="I133" s="9" t="inlineStr"/>
    </row>
    <row r="134">
      <c r="A134" s="5" t="n">
        <v>133</v>
      </c>
      <c r="B134" s="6" t="str">
        <f>IFERROR(VLOOKUP($A134,参会名单!$A$2:$K$201,2,FALSE),"")</f>
        <v>唐浩</v>
      </c>
      <c r="C134" s="6" t="str">
        <f>IFERROR(VLOOKUP($A134,参会名单!$A$2:$K$201,3,FALSE),"")</f>
        <v>云栖智能</v>
      </c>
      <c r="D134" s="7" t="str">
        <f>IFERROR(VLOOKUP($A134,参会名单!$A$2:$K$201,7,FALSE),"")</f>
        <v>标准</v>
      </c>
      <c r="E134" s="5" t="inlineStr">
        <is>
          <t>未签到</t>
        </is>
      </c>
      <c r="F134" s="8" t="n"/>
      <c r="G134" s="5" t="n"/>
      <c r="H134" s="5" t="inlineStr">
        <is>
          <t>否</t>
        </is>
      </c>
      <c r="I134" s="9" t="inlineStr"/>
    </row>
    <row r="135">
      <c r="A135" s="5" t="n">
        <v>134</v>
      </c>
      <c r="B135" s="6" t="str">
        <f>IFERROR(VLOOKUP($A135,参会名单!$A$2:$K$201,2,FALSE),"")</f>
        <v>林子</v>
      </c>
      <c r="C135" s="6" t="str">
        <f>IFERROR(VLOOKUP($A135,参会名单!$A$2:$K$201,3,FALSE),"")</f>
        <v>领航智造</v>
      </c>
      <c r="D135" s="7" t="str">
        <f>IFERROR(VLOOKUP($A135,参会名单!$A$2:$K$201,7,FALSE),"")</f>
        <v>标准</v>
      </c>
      <c r="E135" s="5" t="inlineStr">
        <is>
          <t>已签到</t>
        </is>
      </c>
      <c r="F135" s="8" t="n">
        <v>0.3444444444444444</v>
      </c>
      <c r="G135" s="5" t="inlineStr">
        <is>
          <t>扫码</t>
        </is>
      </c>
      <c r="H135" s="5" t="inlineStr">
        <is>
          <t>否</t>
        </is>
      </c>
      <c r="I135" s="9" t="inlineStr"/>
    </row>
    <row r="136">
      <c r="A136" s="5" t="n">
        <v>135</v>
      </c>
      <c r="B136" s="6" t="str">
        <f>IFERROR(VLOOKUP($A136,参会名单!$A$2:$K$201,2,FALSE),"")</f>
        <v>潘子</v>
      </c>
      <c r="C136" s="6" t="str">
        <f>IFERROR(VLOOKUP($A136,参会名单!$A$2:$K$201,3,FALSE),"")</f>
        <v>光合数字</v>
      </c>
      <c r="D136" s="7" t="str">
        <f>IFERROR(VLOOKUP($A136,参会名单!$A$2:$K$201,7,FALSE),"")</f>
        <v>标准</v>
      </c>
      <c r="E136" s="5" t="inlineStr">
        <is>
          <t>已签到</t>
        </is>
      </c>
      <c r="F136" s="8" t="n">
        <v>0.3625</v>
      </c>
      <c r="G136" s="5" t="inlineStr">
        <is>
          <t>扫码</t>
        </is>
      </c>
      <c r="H136" s="5" t="inlineStr">
        <is>
          <t>是</t>
        </is>
      </c>
      <c r="I136" s="9" t="inlineStr"/>
    </row>
    <row r="137">
      <c r="A137" s="5" t="n">
        <v>136</v>
      </c>
      <c r="B137" s="6" t="str">
        <f>IFERROR(VLOOKUP($A137,参会名单!$A$2:$K$201,2,FALSE),"")</f>
        <v>梁平琪</v>
      </c>
      <c r="C137" s="6" t="str">
        <f>IFERROR(VLOOKUP($A137,参会名单!$A$2:$K$201,3,FALSE),"")</f>
        <v>星瀚科技</v>
      </c>
      <c r="D137" s="7" t="str">
        <f>IFERROR(VLOOKUP($A137,参会名单!$A$2:$K$201,7,FALSE),"")</f>
        <v>标准</v>
      </c>
      <c r="E137" s="5" t="inlineStr">
        <is>
          <t>已签到</t>
        </is>
      </c>
      <c r="F137" s="8" t="n">
        <v>0.3986111111111111</v>
      </c>
      <c r="G137" s="5" t="inlineStr">
        <is>
          <t>前台登记</t>
        </is>
      </c>
      <c r="H137" s="5" t="inlineStr">
        <is>
          <t>是</t>
        </is>
      </c>
      <c r="I137" s="9" t="inlineStr"/>
    </row>
    <row r="138">
      <c r="A138" s="5" t="n">
        <v>137</v>
      </c>
      <c r="B138" s="6" t="str">
        <f>IFERROR(VLOOKUP($A138,参会名单!$A$2:$K$201,2,FALSE),"")</f>
        <v>林涵</v>
      </c>
      <c r="C138" s="6" t="str">
        <f>IFERROR(VLOOKUP($A138,参会名单!$A$2:$K$201,3,FALSE),"")</f>
        <v>启元软件</v>
      </c>
      <c r="D138" s="7" t="str">
        <f>IFERROR(VLOOKUP($A138,参会名单!$A$2:$K$201,7,FALSE),"")</f>
        <v>标准</v>
      </c>
      <c r="E138" s="5" t="inlineStr">
        <is>
          <t>未签到</t>
        </is>
      </c>
      <c r="F138" s="8" t="n"/>
      <c r="G138" s="5" t="n"/>
      <c r="H138" s="5" t="inlineStr">
        <is>
          <t>否</t>
        </is>
      </c>
      <c r="I138" s="9" t="inlineStr"/>
    </row>
    <row r="139">
      <c r="A139" s="5" t="n">
        <v>138</v>
      </c>
      <c r="B139" s="6" t="str">
        <f>IFERROR(VLOOKUP($A139,参会名单!$A$2:$K$201,2,FALSE),"")</f>
        <v>赵杰</v>
      </c>
      <c r="C139" s="6" t="str">
        <f>IFERROR(VLOOKUP($A139,参会名单!$A$2:$K$201,3,FALSE),"")</f>
        <v>云栖智能</v>
      </c>
      <c r="D139" s="7" t="str">
        <f>IFERROR(VLOOKUP($A139,参会名单!$A$2:$K$201,7,FALSE),"")</f>
        <v>标准</v>
      </c>
      <c r="E139" s="5" t="inlineStr">
        <is>
          <t>已签到</t>
        </is>
      </c>
      <c r="F139" s="8" t="n">
        <v>0.3979166666666666</v>
      </c>
      <c r="G139" s="5" t="inlineStr">
        <is>
          <t>人脸识别</t>
        </is>
      </c>
      <c r="H139" s="5" t="inlineStr">
        <is>
          <t>是</t>
        </is>
      </c>
      <c r="I139" s="9" t="inlineStr"/>
    </row>
    <row r="140">
      <c r="A140" s="5" t="n">
        <v>139</v>
      </c>
      <c r="B140" s="6" t="str">
        <f>IFERROR(VLOOKUP($A140,参会名单!$A$2:$K$201,2,FALSE),"")</f>
        <v>韩秀桐</v>
      </c>
      <c r="C140" s="6" t="str">
        <f>IFERROR(VLOOKUP($A140,参会名单!$A$2:$K$201,3,FALSE),"")</f>
        <v>南岭智联</v>
      </c>
      <c r="D140" s="7" t="str">
        <f>IFERROR(VLOOKUP($A140,参会名单!$A$2:$K$201,7,FALSE),"")</f>
        <v>标准</v>
      </c>
      <c r="E140" s="5" t="inlineStr">
        <is>
          <t>未签到</t>
        </is>
      </c>
      <c r="F140" s="8" t="n"/>
      <c r="G140" s="5" t="n"/>
      <c r="H140" s="5" t="inlineStr">
        <is>
          <t>否</t>
        </is>
      </c>
      <c r="I140" s="9" t="inlineStr"/>
    </row>
    <row r="141">
      <c r="A141" s="5" t="n">
        <v>140</v>
      </c>
      <c r="B141" s="6" t="str">
        <f>IFERROR(VLOOKUP($A141,参会名单!$A$2:$K$201,2,FALSE),"")</f>
        <v>高洋</v>
      </c>
      <c r="C141" s="6" t="str">
        <f>IFERROR(VLOOKUP($A141,参会名单!$A$2:$K$201,3,FALSE),"")</f>
        <v>光合数字</v>
      </c>
      <c r="D141" s="7" t="str">
        <f>IFERROR(VLOOKUP($A141,参会名单!$A$2:$K$201,7,FALSE),"")</f>
        <v>标准</v>
      </c>
      <c r="E141" s="5" t="inlineStr">
        <is>
          <t>未签到</t>
        </is>
      </c>
      <c r="F141" s="8" t="n"/>
      <c r="G141" s="5" t="n"/>
      <c r="H141" s="5" t="inlineStr">
        <is>
          <t>否</t>
        </is>
      </c>
      <c r="I141" s="9" t="inlineStr"/>
    </row>
    <row r="142">
      <c r="A142" s="5" t="n">
        <v>141</v>
      </c>
      <c r="B142" s="6" t="str">
        <f>IFERROR(VLOOKUP($A142,参会名单!$A$2:$K$201,2,FALSE),"")</f>
        <v>黄霞子</v>
      </c>
      <c r="C142" s="6" t="str">
        <f>IFERROR(VLOOKUP($A142,参会名单!$A$2:$K$201,3,FALSE),"")</f>
        <v>星瀚科技</v>
      </c>
      <c r="D142" s="7" t="str">
        <f>IFERROR(VLOOKUP($A142,参会名单!$A$2:$K$201,7,FALSE),"")</f>
        <v>标准</v>
      </c>
      <c r="E142" s="5" t="inlineStr">
        <is>
          <t>已签到</t>
        </is>
      </c>
      <c r="F142" s="8" t="n">
        <v>0.3638888888888889</v>
      </c>
      <c r="G142" s="5" t="inlineStr">
        <is>
          <t>人脸识别</t>
        </is>
      </c>
      <c r="H142" s="5" t="inlineStr">
        <is>
          <t>是</t>
        </is>
      </c>
      <c r="I142" s="9" t="inlineStr"/>
    </row>
    <row r="143">
      <c r="A143" s="5" t="n">
        <v>142</v>
      </c>
      <c r="B143" s="6" t="str">
        <f>IFERROR(VLOOKUP($A143,参会名单!$A$2:$K$201,2,FALSE),"")</f>
        <v>郑娟丽</v>
      </c>
      <c r="C143" s="6" t="str">
        <f>IFERROR(VLOOKUP($A143,参会名单!$A$2:$K$201,3,FALSE),"")</f>
        <v>云栖智能</v>
      </c>
      <c r="D143" s="7" t="str">
        <f>IFERROR(VLOOKUP($A143,参会名单!$A$2:$K$201,7,FALSE),"")</f>
        <v>标准</v>
      </c>
      <c r="E143" s="5" t="inlineStr">
        <is>
          <t>已签到</t>
        </is>
      </c>
      <c r="F143" s="8" t="n">
        <v>0.375</v>
      </c>
      <c r="G143" s="5" t="inlineStr">
        <is>
          <t>扫码</t>
        </is>
      </c>
      <c r="H143" s="5" t="inlineStr">
        <is>
          <t>是</t>
        </is>
      </c>
      <c r="I143" s="9" t="inlineStr"/>
    </row>
    <row r="144">
      <c r="A144" s="5" t="n">
        <v>143</v>
      </c>
      <c r="B144" s="6" t="str">
        <f>IFERROR(VLOOKUP($A144,参会名单!$A$2:$K$201,2,FALSE),"")</f>
        <v>冯秀强</v>
      </c>
      <c r="C144" s="6" t="str">
        <f>IFERROR(VLOOKUP($A144,参会名单!$A$2:$K$201,3,FALSE),"")</f>
        <v>蜂巢科技</v>
      </c>
      <c r="D144" s="7" t="str">
        <f>IFERROR(VLOOKUP($A144,参会名单!$A$2:$K$201,7,FALSE),"")</f>
        <v>标准</v>
      </c>
      <c r="E144" s="5" t="inlineStr">
        <is>
          <t>未签到</t>
        </is>
      </c>
      <c r="F144" s="8" t="n"/>
      <c r="G144" s="5" t="n"/>
      <c r="H144" s="5" t="inlineStr">
        <is>
          <t>否</t>
        </is>
      </c>
      <c r="I144" s="9" t="inlineStr">
        <is>
          <t>素食餐已二次确认</t>
        </is>
      </c>
    </row>
    <row r="145">
      <c r="A145" s="5" t="n">
        <v>144</v>
      </c>
      <c r="B145" s="6" t="str">
        <f>IFERROR(VLOOKUP($A145,参会名单!$A$2:$K$201,2,FALSE),"")</f>
        <v>李雨</v>
      </c>
      <c r="C145" s="6" t="str">
        <f>IFERROR(VLOOKUP($A145,参会名单!$A$2:$K$201,3,FALSE),"")</f>
        <v>领航智造</v>
      </c>
      <c r="D145" s="7" t="str">
        <f>IFERROR(VLOOKUP($A145,参会名单!$A$2:$K$201,7,FALSE),"")</f>
        <v>标准</v>
      </c>
      <c r="E145" s="5" t="inlineStr">
        <is>
          <t>未签到</t>
        </is>
      </c>
      <c r="F145" s="8" t="n"/>
      <c r="G145" s="5" t="n"/>
      <c r="H145" s="5" t="inlineStr">
        <is>
          <t>否</t>
        </is>
      </c>
      <c r="I145" s="9" t="inlineStr"/>
    </row>
    <row r="146">
      <c r="A146" s="5" t="n">
        <v>145</v>
      </c>
      <c r="B146" s="6" t="str">
        <f>IFERROR(VLOOKUP($A146,参会名单!$A$2:$K$201,2,FALSE),"")</f>
        <v>唐怡</v>
      </c>
      <c r="C146" s="6" t="str">
        <f>IFERROR(VLOOKUP($A146,参会名单!$A$2:$K$201,3,FALSE),"")</f>
        <v>领航智造</v>
      </c>
      <c r="D146" s="7" t="str">
        <f>IFERROR(VLOOKUP($A146,参会名单!$A$2:$K$201,7,FALSE),"")</f>
        <v>标准</v>
      </c>
      <c r="E146" s="5" t="inlineStr">
        <is>
          <t>已签到</t>
        </is>
      </c>
      <c r="F146" s="8" t="n">
        <v>0.3979166666666666</v>
      </c>
      <c r="G146" s="5" t="inlineStr">
        <is>
          <t>扫码</t>
        </is>
      </c>
      <c r="H146" s="5" t="inlineStr">
        <is>
          <t>是</t>
        </is>
      </c>
      <c r="I146" s="9" t="inlineStr"/>
    </row>
    <row r="147">
      <c r="A147" s="5" t="n">
        <v>146</v>
      </c>
      <c r="B147" s="6" t="str">
        <f>IFERROR(VLOOKUP($A147,参会名单!$A$2:$K$201,2,FALSE),"")</f>
        <v>吴艳强</v>
      </c>
      <c r="C147" s="6" t="str">
        <f>IFERROR(VLOOKUP($A147,参会名单!$A$2:$K$201,3,FALSE),"")</f>
        <v>云栖智能</v>
      </c>
      <c r="D147" s="7" t="str">
        <f>IFERROR(VLOOKUP($A147,参会名单!$A$2:$K$201,7,FALSE),"")</f>
        <v>标准</v>
      </c>
      <c r="E147" s="5" t="inlineStr">
        <is>
          <t>已签到</t>
        </is>
      </c>
      <c r="F147" s="8" t="n">
        <v>0.3638888888888889</v>
      </c>
      <c r="G147" s="5" t="inlineStr">
        <is>
          <t>前台登记</t>
        </is>
      </c>
      <c r="H147" s="5" t="inlineStr">
        <is>
          <t>是</t>
        </is>
      </c>
      <c r="I147" s="9" t="inlineStr"/>
    </row>
    <row r="148">
      <c r="A148" s="5" t="n">
        <v>147</v>
      </c>
      <c r="B148" s="6" t="str">
        <f>IFERROR(VLOOKUP($A148,参会名单!$A$2:$K$201,2,FALSE),"")</f>
        <v>徐静彤</v>
      </c>
      <c r="C148" s="6" t="str">
        <f>IFERROR(VLOOKUP($A148,参会名单!$A$2:$K$201,3,FALSE),"")</f>
        <v>蜂巢科技</v>
      </c>
      <c r="D148" s="7" t="str">
        <f>IFERROR(VLOOKUP($A148,参会名单!$A$2:$K$201,7,FALSE),"")</f>
        <v>标准</v>
      </c>
      <c r="E148" s="5" t="inlineStr">
        <is>
          <t>已签到</t>
        </is>
      </c>
      <c r="F148" s="8" t="n">
        <v>0.3520833333333334</v>
      </c>
      <c r="G148" s="5" t="inlineStr">
        <is>
          <t>扫码</t>
        </is>
      </c>
      <c r="H148" s="5" t="inlineStr">
        <is>
          <t>是</t>
        </is>
      </c>
      <c r="I148" s="9" t="inlineStr"/>
    </row>
    <row r="149">
      <c r="A149" s="5" t="n">
        <v>148</v>
      </c>
      <c r="B149" s="6" t="str">
        <f>IFERROR(VLOOKUP($A149,参会名单!$A$2:$K$201,2,FALSE),"")</f>
        <v>刘睿</v>
      </c>
      <c r="C149" s="6" t="str">
        <f>IFERROR(VLOOKUP($A149,参会名单!$A$2:$K$201,3,FALSE),"")</f>
        <v>领航智造</v>
      </c>
      <c r="D149" s="7" t="str">
        <f>IFERROR(VLOOKUP($A149,参会名单!$A$2:$K$201,7,FALSE),"")</f>
        <v>标准</v>
      </c>
      <c r="E149" s="5" t="inlineStr">
        <is>
          <t>已签到</t>
        </is>
      </c>
      <c r="F149" s="8" t="n">
        <v>0.3701388888888889</v>
      </c>
      <c r="G149" s="5" t="inlineStr">
        <is>
          <t>扫码</t>
        </is>
      </c>
      <c r="H149" s="5" t="inlineStr">
        <is>
          <t>是</t>
        </is>
      </c>
      <c r="I149" s="9" t="inlineStr"/>
    </row>
    <row r="150">
      <c r="A150" s="5" t="n">
        <v>149</v>
      </c>
      <c r="B150" s="6" t="str">
        <f>IFERROR(VLOOKUP($A150,参会名单!$A$2:$K$201,2,FALSE),"")</f>
        <v>李怡</v>
      </c>
      <c r="C150" s="6" t="str">
        <f>IFERROR(VLOOKUP($A150,参会名单!$A$2:$K$201,3,FALSE),"")</f>
        <v>蜂巢科技</v>
      </c>
      <c r="D150" s="7" t="str">
        <f>IFERROR(VLOOKUP($A150,参会名单!$A$2:$K$201,7,FALSE),"")</f>
        <v>标准</v>
      </c>
      <c r="E150" s="5" t="inlineStr">
        <is>
          <t>已签到</t>
        </is>
      </c>
      <c r="F150" s="8" t="n">
        <v>0.35625</v>
      </c>
      <c r="G150" s="5" t="inlineStr">
        <is>
          <t>人脸识别</t>
        </is>
      </c>
      <c r="H150" s="5" t="inlineStr">
        <is>
          <t>是</t>
        </is>
      </c>
      <c r="I150" s="9" t="inlineStr"/>
    </row>
    <row r="151">
      <c r="A151" s="5" t="n">
        <v>150</v>
      </c>
      <c r="B151" s="6" t="str">
        <f>IFERROR(VLOOKUP($A151,参会名单!$A$2:$K$201,2,FALSE),"")</f>
        <v>郑勇琪</v>
      </c>
      <c r="C151" s="6" t="str">
        <f>IFERROR(VLOOKUP($A151,参会名单!$A$2:$K$201,3,FALSE),"")</f>
        <v>星环动力</v>
      </c>
      <c r="D151" s="7" t="str">
        <f>IFERROR(VLOOKUP($A151,参会名单!$A$2:$K$201,7,FALSE),"")</f>
        <v>标准</v>
      </c>
      <c r="E151" s="5" t="inlineStr">
        <is>
          <t>未签到</t>
        </is>
      </c>
      <c r="F151" s="8" t="n"/>
      <c r="G151" s="5" t="n"/>
      <c r="H151" s="5" t="inlineStr">
        <is>
          <t>否</t>
        </is>
      </c>
      <c r="I151" s="9" t="inlineStr"/>
    </row>
    <row r="152">
      <c r="A152" s="5" t="n">
        <v>151</v>
      </c>
      <c r="B152" s="6" t="str">
        <f>IFERROR(VLOOKUP($A152,参会名单!$A$2:$K$201,2,FALSE),"")</f>
        <v>潘敏</v>
      </c>
      <c r="C152" s="6" t="str">
        <f>IFERROR(VLOOKUP($A152,参会名单!$A$2:$K$201,3,FALSE),"")</f>
        <v>南粤科技大学</v>
      </c>
      <c r="D152" s="7" t="str">
        <f>IFERROR(VLOOKUP($A152,参会名单!$A$2:$K$201,7,FALSE),"")</f>
        <v>学生</v>
      </c>
      <c r="E152" s="5" t="inlineStr">
        <is>
          <t>已签到</t>
        </is>
      </c>
      <c r="F152" s="8" t="n">
        <v>0.3826388888888889</v>
      </c>
      <c r="G152" s="5" t="inlineStr">
        <is>
          <t>扫码</t>
        </is>
      </c>
      <c r="H152" s="5" t="inlineStr">
        <is>
          <t>是</t>
        </is>
      </c>
      <c r="I152" s="9" t="inlineStr"/>
    </row>
    <row r="153">
      <c r="A153" s="5" t="n">
        <v>152</v>
      </c>
      <c r="B153" s="6" t="str">
        <f>IFERROR(VLOOKUP($A153,参会名单!$A$2:$K$201,2,FALSE),"")</f>
        <v>杨强</v>
      </c>
      <c r="C153" s="6" t="str">
        <f>IFERROR(VLOOKUP($A153,参会名单!$A$2:$K$201,3,FALSE),"")</f>
        <v>南粤科技大学</v>
      </c>
      <c r="D153" s="7" t="str">
        <f>IFERROR(VLOOKUP($A153,参会名单!$A$2:$K$201,7,FALSE),"")</f>
        <v>学生</v>
      </c>
      <c r="E153" s="5" t="inlineStr">
        <is>
          <t>已签到</t>
        </is>
      </c>
      <c r="F153" s="8" t="n">
        <v>0.3708333333333333</v>
      </c>
      <c r="G153" s="5" t="inlineStr">
        <is>
          <t>扫码</t>
        </is>
      </c>
      <c r="H153" s="5" t="inlineStr">
        <is>
          <t>是</t>
        </is>
      </c>
      <c r="I153" s="9" t="inlineStr"/>
    </row>
    <row r="154">
      <c r="A154" s="5" t="n">
        <v>153</v>
      </c>
      <c r="B154" s="6" t="str">
        <f>IFERROR(VLOOKUP($A154,参会名单!$A$2:$K$201,2,FALSE),"")</f>
        <v>高博勇</v>
      </c>
      <c r="C154" s="6" t="str">
        <f>IFERROR(VLOOKUP($A154,参会名单!$A$2:$K$201,3,FALSE),"")</f>
        <v>湾区信息学院</v>
      </c>
      <c r="D154" s="7" t="str">
        <f>IFERROR(VLOOKUP($A154,参会名单!$A$2:$K$201,7,FALSE),"")</f>
        <v>学生</v>
      </c>
      <c r="E154" s="5" t="inlineStr">
        <is>
          <t>未签到</t>
        </is>
      </c>
      <c r="F154" s="8" t="n"/>
      <c r="G154" s="5" t="n"/>
      <c r="H154" s="5" t="inlineStr">
        <is>
          <t>否</t>
        </is>
      </c>
      <c r="I154" s="9" t="inlineStr"/>
    </row>
    <row r="155">
      <c r="A155" s="5" t="n">
        <v>154</v>
      </c>
      <c r="B155" s="6" t="str">
        <f>IFERROR(VLOOKUP($A155,参会名单!$A$2:$K$201,2,FALSE),"")</f>
        <v>黄雨磊</v>
      </c>
      <c r="C155" s="6" t="str">
        <f>IFERROR(VLOOKUP($A155,参会名单!$A$2:$K$201,3,FALSE),"")</f>
        <v>鹏城理工学院</v>
      </c>
      <c r="D155" s="7" t="str">
        <f>IFERROR(VLOOKUP($A155,参会名单!$A$2:$K$201,7,FALSE),"")</f>
        <v>学生</v>
      </c>
      <c r="E155" s="5" t="inlineStr">
        <is>
          <t>已签到</t>
        </is>
      </c>
      <c r="F155" s="8" t="n">
        <v>0.3993055555555556</v>
      </c>
      <c r="G155" s="5" t="inlineStr">
        <is>
          <t>扫码</t>
        </is>
      </c>
      <c r="H155" s="5" t="inlineStr">
        <is>
          <t>是</t>
        </is>
      </c>
      <c r="I155" s="9" t="inlineStr"/>
    </row>
    <row r="156">
      <c r="A156" s="5" t="n">
        <v>155</v>
      </c>
      <c r="B156" s="6" t="str">
        <f>IFERROR(VLOOKUP($A156,参会名单!$A$2:$K$201,2,FALSE),"")</f>
        <v>韩磊</v>
      </c>
      <c r="C156" s="6" t="str">
        <f>IFERROR(VLOOKUP($A156,参会名单!$A$2:$K$201,3,FALSE),"")</f>
        <v>南粤科技大学</v>
      </c>
      <c r="D156" s="7" t="str">
        <f>IFERROR(VLOOKUP($A156,参会名单!$A$2:$K$201,7,FALSE),"")</f>
        <v>学生</v>
      </c>
      <c r="E156" s="5" t="inlineStr">
        <is>
          <t>已签到</t>
        </is>
      </c>
      <c r="F156" s="8" t="n">
        <v>0.4131944444444444</v>
      </c>
      <c r="G156" s="5" t="inlineStr">
        <is>
          <t>扫码</t>
        </is>
      </c>
      <c r="H156" s="5" t="inlineStr">
        <is>
          <t>是</t>
        </is>
      </c>
      <c r="I156" s="9" t="inlineStr"/>
    </row>
    <row r="157">
      <c r="A157" s="5" t="n">
        <v>156</v>
      </c>
      <c r="B157" s="6" t="str">
        <f>IFERROR(VLOOKUP($A157,参会名单!$A$2:$K$201,2,FALSE),"")</f>
        <v>潘子然</v>
      </c>
      <c r="C157" s="6" t="str">
        <f>IFERROR(VLOOKUP($A157,参会名单!$A$2:$K$201,3,FALSE),"")</f>
        <v>鹏城理工学院</v>
      </c>
      <c r="D157" s="7" t="str">
        <f>IFERROR(VLOOKUP($A157,参会名单!$A$2:$K$201,7,FALSE),"")</f>
        <v>学生</v>
      </c>
      <c r="E157" s="5" t="inlineStr">
        <is>
          <t>已签到</t>
        </is>
      </c>
      <c r="F157" s="8" t="n">
        <v>0.3645833333333333</v>
      </c>
      <c r="G157" s="5" t="inlineStr">
        <is>
          <t>人脸识别</t>
        </is>
      </c>
      <c r="H157" s="5" t="inlineStr">
        <is>
          <t>是</t>
        </is>
      </c>
      <c r="I157" s="9" t="inlineStr"/>
    </row>
    <row r="158">
      <c r="A158" s="5" t="n">
        <v>157</v>
      </c>
      <c r="B158" s="6" t="str">
        <f>IFERROR(VLOOKUP($A158,参会名单!$A$2:$K$201,2,FALSE),"")</f>
        <v>吴伟霞</v>
      </c>
      <c r="C158" s="6" t="str">
        <f>IFERROR(VLOOKUP($A158,参会名单!$A$2:$K$201,3,FALSE),"")</f>
        <v>鹏城理工学院</v>
      </c>
      <c r="D158" s="7" t="str">
        <f>IFERROR(VLOOKUP($A158,参会名单!$A$2:$K$201,7,FALSE),"")</f>
        <v>学生</v>
      </c>
      <c r="E158" s="5" t="inlineStr">
        <is>
          <t>已签到</t>
        </is>
      </c>
      <c r="F158" s="8" t="n">
        <v>0.3791666666666667</v>
      </c>
      <c r="G158" s="5" t="inlineStr">
        <is>
          <t>扫码</t>
        </is>
      </c>
      <c r="H158" s="5" t="inlineStr">
        <is>
          <t>是</t>
        </is>
      </c>
      <c r="I158" s="9" t="inlineStr"/>
    </row>
    <row r="159">
      <c r="A159" s="5" t="n">
        <v>158</v>
      </c>
      <c r="B159" s="6" t="str">
        <f>IFERROR(VLOOKUP($A159,参会名单!$A$2:$K$201,2,FALSE),"")</f>
        <v>谢洋琪</v>
      </c>
      <c r="C159" s="6" t="str">
        <f>IFERROR(VLOOKUP($A159,参会名单!$A$2:$K$201,3,FALSE),"")</f>
        <v>鹏城理工学院</v>
      </c>
      <c r="D159" s="7" t="str">
        <f>IFERROR(VLOOKUP($A159,参会名单!$A$2:$K$201,7,FALSE),"")</f>
        <v>学生</v>
      </c>
      <c r="E159" s="5" t="inlineStr">
        <is>
          <t>已签到</t>
        </is>
      </c>
      <c r="F159" s="8" t="n">
        <v>0.3701388888888889</v>
      </c>
      <c r="G159" s="5" t="inlineStr">
        <is>
          <t>扫码</t>
        </is>
      </c>
      <c r="H159" s="5" t="inlineStr">
        <is>
          <t>是</t>
        </is>
      </c>
      <c r="I159" s="9" t="inlineStr">
        <is>
          <t>带 1 名随行同事</t>
        </is>
      </c>
    </row>
    <row r="160">
      <c r="A160" s="5" t="n">
        <v>159</v>
      </c>
      <c r="B160" s="6" t="str">
        <f>IFERROR(VLOOKUP($A160,参会名单!$A$2:$K$201,2,FALSE),"")</f>
        <v>孙勇宇</v>
      </c>
      <c r="C160" s="6" t="str">
        <f>IFERROR(VLOOKUP($A160,参会名单!$A$2:$K$201,3,FALSE),"")</f>
        <v>南粤科技大学</v>
      </c>
      <c r="D160" s="7" t="str">
        <f>IFERROR(VLOOKUP($A160,参会名单!$A$2:$K$201,7,FALSE),"")</f>
        <v>学生</v>
      </c>
      <c r="E160" s="5" t="inlineStr">
        <is>
          <t>已签到</t>
        </is>
      </c>
      <c r="F160" s="8" t="n">
        <v>0.3597222222222222</v>
      </c>
      <c r="G160" s="5" t="inlineStr">
        <is>
          <t>扫码</t>
        </is>
      </c>
      <c r="H160" s="5" t="inlineStr">
        <is>
          <t>是</t>
        </is>
      </c>
      <c r="I160" s="9" t="inlineStr"/>
    </row>
    <row r="161">
      <c r="A161" s="5" t="n">
        <v>160</v>
      </c>
      <c r="B161" s="6" t="str">
        <f>IFERROR(VLOOKUP($A161,参会名单!$A$2:$K$201,2,FALSE),"")</f>
        <v>李平琪</v>
      </c>
      <c r="C161" s="6" t="str">
        <f>IFERROR(VLOOKUP($A161,参会名单!$A$2:$K$201,3,FALSE),"")</f>
        <v>湾区信息学院</v>
      </c>
      <c r="D161" s="7" t="str">
        <f>IFERROR(VLOOKUP($A161,参会名单!$A$2:$K$201,7,FALSE),"")</f>
        <v>学生</v>
      </c>
      <c r="E161" s="5" t="inlineStr">
        <is>
          <t>已签到</t>
        </is>
      </c>
      <c r="F161" s="8" t="n">
        <v>0.4152777777777778</v>
      </c>
      <c r="G161" s="5" t="inlineStr">
        <is>
          <t>人脸识别</t>
        </is>
      </c>
      <c r="H161" s="5" t="inlineStr">
        <is>
          <t>是</t>
        </is>
      </c>
      <c r="I161" s="9" t="inlineStr"/>
    </row>
    <row r="162">
      <c r="A162" s="5" t="n">
        <v>161</v>
      </c>
      <c r="B162" s="6" t="str">
        <f>IFERROR(VLOOKUP($A162,参会名单!$A$2:$K$201,2,FALSE),"")</f>
        <v>陈涛平</v>
      </c>
      <c r="C162" s="6" t="str">
        <f>IFERROR(VLOOKUP($A162,参会名单!$A$2:$K$201,3,FALSE),"")</f>
        <v>湾区信息学院</v>
      </c>
      <c r="D162" s="7" t="str">
        <f>IFERROR(VLOOKUP($A162,参会名单!$A$2:$K$201,7,FALSE),"")</f>
        <v>学生</v>
      </c>
      <c r="E162" s="5" t="inlineStr">
        <is>
          <t>已签到</t>
        </is>
      </c>
      <c r="F162" s="8" t="n">
        <v>0.4013888888888889</v>
      </c>
      <c r="G162" s="5" t="inlineStr">
        <is>
          <t>人脸识别</t>
        </is>
      </c>
      <c r="H162" s="5" t="inlineStr">
        <is>
          <t>是</t>
        </is>
      </c>
      <c r="I162" s="9" t="inlineStr"/>
    </row>
    <row r="163">
      <c r="A163" s="5" t="n">
        <v>162</v>
      </c>
      <c r="B163" s="6" t="str">
        <f>IFERROR(VLOOKUP($A163,参会名单!$A$2:$K$201,2,FALSE),"")</f>
        <v>马静</v>
      </c>
      <c r="C163" s="6" t="str">
        <f>IFERROR(VLOOKUP($A163,参会名单!$A$2:$K$201,3,FALSE),"")</f>
        <v>鹏城理工学院</v>
      </c>
      <c r="D163" s="7" t="str">
        <f>IFERROR(VLOOKUP($A163,参会名单!$A$2:$K$201,7,FALSE),"")</f>
        <v>学生</v>
      </c>
      <c r="E163" s="5" t="inlineStr">
        <is>
          <t>未签到</t>
        </is>
      </c>
      <c r="F163" s="8" t="n"/>
      <c r="G163" s="5" t="n"/>
      <c r="H163" s="5" t="inlineStr">
        <is>
          <t>否</t>
        </is>
      </c>
      <c r="I163" s="9" t="inlineStr"/>
    </row>
    <row r="164">
      <c r="A164" s="5" t="n">
        <v>163</v>
      </c>
      <c r="B164" s="6" t="str">
        <f>IFERROR(VLOOKUP($A164,参会名单!$A$2:$K$201,2,FALSE),"")</f>
        <v>陈子丽</v>
      </c>
      <c r="C164" s="6" t="str">
        <f>IFERROR(VLOOKUP($A164,参会名单!$A$2:$K$201,3,FALSE),"")</f>
        <v>湾区信息学院</v>
      </c>
      <c r="D164" s="7" t="str">
        <f>IFERROR(VLOOKUP($A164,参会名单!$A$2:$K$201,7,FALSE),"")</f>
        <v>学生</v>
      </c>
      <c r="E164" s="5" t="inlineStr">
        <is>
          <t>已签到</t>
        </is>
      </c>
      <c r="F164" s="8" t="n">
        <v>0.3777777777777778</v>
      </c>
      <c r="G164" s="5" t="inlineStr">
        <is>
          <t>扫码</t>
        </is>
      </c>
      <c r="H164" s="5" t="inlineStr">
        <is>
          <t>是</t>
        </is>
      </c>
      <c r="I164" s="9" t="inlineStr"/>
    </row>
    <row r="165">
      <c r="A165" s="5" t="n">
        <v>164</v>
      </c>
      <c r="B165" s="6" t="str">
        <f>IFERROR(VLOOKUP($A165,参会名单!$A$2:$K$201,2,FALSE),"")</f>
        <v>徐嘉</v>
      </c>
      <c r="C165" s="6" t="str">
        <f>IFERROR(VLOOKUP($A165,参会名单!$A$2:$K$201,3,FALSE),"")</f>
        <v>鹏城理工学院</v>
      </c>
      <c r="D165" s="7" t="str">
        <f>IFERROR(VLOOKUP($A165,参会名单!$A$2:$K$201,7,FALSE),"")</f>
        <v>学生</v>
      </c>
      <c r="E165" s="5" t="inlineStr">
        <is>
          <t>已签到</t>
        </is>
      </c>
      <c r="F165" s="8" t="n">
        <v>0.3847222222222222</v>
      </c>
      <c r="G165" s="5" t="inlineStr">
        <is>
          <t>人脸识别</t>
        </is>
      </c>
      <c r="H165" s="5" t="inlineStr">
        <is>
          <t>是</t>
        </is>
      </c>
      <c r="I165" s="9" t="inlineStr"/>
    </row>
    <row r="166">
      <c r="A166" s="5" t="n">
        <v>165</v>
      </c>
      <c r="B166" s="6" t="str">
        <f>IFERROR(VLOOKUP($A166,参会名单!$A$2:$K$201,2,FALSE),"")</f>
        <v>王勇博</v>
      </c>
      <c r="C166" s="6" t="str">
        <f>IFERROR(VLOOKUP($A166,参会名单!$A$2:$K$201,3,FALSE),"")</f>
        <v>南粤科技大学</v>
      </c>
      <c r="D166" s="7" t="str">
        <f>IFERROR(VLOOKUP($A166,参会名单!$A$2:$K$201,7,FALSE),"")</f>
        <v>学生</v>
      </c>
      <c r="E166" s="5" t="inlineStr">
        <is>
          <t>已签到</t>
        </is>
      </c>
      <c r="F166" s="8" t="n">
        <v>0.3506944444444444</v>
      </c>
      <c r="G166" s="5" t="inlineStr">
        <is>
          <t>前台登记</t>
        </is>
      </c>
      <c r="H166" s="5" t="inlineStr">
        <is>
          <t>是</t>
        </is>
      </c>
      <c r="I166" s="9" t="inlineStr">
        <is>
          <t>需开具增值税专用发票</t>
        </is>
      </c>
    </row>
    <row r="167">
      <c r="A167" s="5" t="n">
        <v>166</v>
      </c>
      <c r="B167" s="6" t="str">
        <f>IFERROR(VLOOKUP($A167,参会名单!$A$2:$K$201,2,FALSE),"")</f>
        <v>董泽雨</v>
      </c>
      <c r="C167" s="6" t="str">
        <f>IFERROR(VLOOKUP($A167,参会名单!$A$2:$K$201,3,FALSE),"")</f>
        <v>鹏城理工学院</v>
      </c>
      <c r="D167" s="7" t="str">
        <f>IFERROR(VLOOKUP($A167,参会名单!$A$2:$K$201,7,FALSE),"")</f>
        <v>学生</v>
      </c>
      <c r="E167" s="5" t="inlineStr">
        <is>
          <t>未签到</t>
        </is>
      </c>
      <c r="F167" s="8" t="n"/>
      <c r="G167" s="5" t="n"/>
      <c r="H167" s="5" t="inlineStr">
        <is>
          <t>否</t>
        </is>
      </c>
      <c r="I167" s="9" t="inlineStr"/>
    </row>
    <row r="168">
      <c r="A168" s="5" t="n">
        <v>167</v>
      </c>
      <c r="B168" s="6" t="str">
        <f>IFERROR(VLOOKUP($A168,参会名单!$A$2:$K$201,2,FALSE),"")</f>
        <v>潘强丽</v>
      </c>
      <c r="C168" s="6" t="str">
        <f>IFERROR(VLOOKUP($A168,参会名单!$A$2:$K$201,3,FALSE),"")</f>
        <v>南粤科技大学</v>
      </c>
      <c r="D168" s="7" t="str">
        <f>IFERROR(VLOOKUP($A168,参会名单!$A$2:$K$201,7,FALSE),"")</f>
        <v>学生</v>
      </c>
      <c r="E168" s="5" t="inlineStr">
        <is>
          <t>已签到</t>
        </is>
      </c>
      <c r="F168" s="8" t="n">
        <v>0.3416666666666667</v>
      </c>
      <c r="G168" s="5" t="inlineStr">
        <is>
          <t>扫码</t>
        </is>
      </c>
      <c r="H168" s="5" t="inlineStr">
        <is>
          <t>是</t>
        </is>
      </c>
      <c r="I168" s="9" t="inlineStr"/>
    </row>
    <row r="169">
      <c r="A169" s="5" t="n">
        <v>168</v>
      </c>
      <c r="B169" s="6" t="str">
        <f>IFERROR(VLOOKUP($A169,参会名单!$A$2:$K$201,2,FALSE),"")</f>
        <v>黄静</v>
      </c>
      <c r="C169" s="6" t="str">
        <f>IFERROR(VLOOKUP($A169,参会名单!$A$2:$K$201,3,FALSE),"")</f>
        <v>湾区信息学院</v>
      </c>
      <c r="D169" s="7" t="str">
        <f>IFERROR(VLOOKUP($A169,参会名单!$A$2:$K$201,7,FALSE),"")</f>
        <v>学生</v>
      </c>
      <c r="E169" s="5" t="inlineStr">
        <is>
          <t>已签到</t>
        </is>
      </c>
      <c r="F169" s="8" t="n">
        <v>0.4104166666666667</v>
      </c>
      <c r="G169" s="5" t="inlineStr">
        <is>
          <t>人脸识别</t>
        </is>
      </c>
      <c r="H169" s="5" t="inlineStr">
        <is>
          <t>是</t>
        </is>
      </c>
      <c r="I169" s="9" t="inlineStr"/>
    </row>
    <row r="170">
      <c r="A170" s="5" t="n">
        <v>169</v>
      </c>
      <c r="B170" s="6" t="str">
        <f>IFERROR(VLOOKUP($A170,参会名单!$A$2:$K$201,2,FALSE),"")</f>
        <v>赵杰平</v>
      </c>
      <c r="C170" s="6" t="str">
        <f>IFERROR(VLOOKUP($A170,参会名单!$A$2:$K$201,3,FALSE),"")</f>
        <v>湾区信息学院</v>
      </c>
      <c r="D170" s="7" t="str">
        <f>IFERROR(VLOOKUP($A170,参会名单!$A$2:$K$201,7,FALSE),"")</f>
        <v>学生</v>
      </c>
      <c r="E170" s="5" t="inlineStr">
        <is>
          <t>已签到</t>
        </is>
      </c>
      <c r="F170" s="8" t="n">
        <v>0.3972222222222222</v>
      </c>
      <c r="G170" s="5" t="inlineStr">
        <is>
          <t>前台登记</t>
        </is>
      </c>
      <c r="H170" s="5" t="inlineStr">
        <is>
          <t>是</t>
        </is>
      </c>
      <c r="I170" s="9" t="inlineStr"/>
    </row>
    <row r="171">
      <c r="A171" s="5" t="n">
        <v>170</v>
      </c>
      <c r="B171" s="6" t="str">
        <f>IFERROR(VLOOKUP($A171,参会名单!$A$2:$K$201,2,FALSE),"")</f>
        <v>曹宁雨</v>
      </c>
      <c r="C171" s="6" t="str">
        <f>IFERROR(VLOOKUP($A171,参会名单!$A$2:$K$201,3,FALSE),"")</f>
        <v>南粤科技大学</v>
      </c>
      <c r="D171" s="7" t="str">
        <f>IFERROR(VLOOKUP($A171,参会名单!$A$2:$K$201,7,FALSE),"")</f>
        <v>学生</v>
      </c>
      <c r="E171" s="5" t="inlineStr">
        <is>
          <t>已签到</t>
        </is>
      </c>
      <c r="F171" s="8" t="n">
        <v>0.3618055555555555</v>
      </c>
      <c r="G171" s="5" t="inlineStr">
        <is>
          <t>扫码</t>
        </is>
      </c>
      <c r="H171" s="5" t="inlineStr">
        <is>
          <t>是</t>
        </is>
      </c>
      <c r="I171" s="9" t="inlineStr"/>
    </row>
    <row r="172">
      <c r="A172" s="5" t="n">
        <v>171</v>
      </c>
      <c r="B172" s="6" t="str">
        <f>IFERROR(VLOOKUP($A172,参会名单!$A$2:$K$201,2,FALSE),"")</f>
        <v>宋琪</v>
      </c>
      <c r="C172" s="6" t="str">
        <f>IFERROR(VLOOKUP($A172,参会名单!$A$2:$K$201,3,FALSE),"")</f>
        <v>南粤科技大学</v>
      </c>
      <c r="D172" s="7" t="str">
        <f>IFERROR(VLOOKUP($A172,参会名单!$A$2:$K$201,7,FALSE),"")</f>
        <v>学生</v>
      </c>
      <c r="E172" s="5" t="inlineStr">
        <is>
          <t>已签到</t>
        </is>
      </c>
      <c r="F172" s="8" t="n">
        <v>0.3493055555555555</v>
      </c>
      <c r="G172" s="5" t="inlineStr">
        <is>
          <t>扫码</t>
        </is>
      </c>
      <c r="H172" s="5" t="inlineStr">
        <is>
          <t>是</t>
        </is>
      </c>
      <c r="I172" s="9" t="inlineStr"/>
    </row>
    <row r="173">
      <c r="A173" s="5" t="n">
        <v>172</v>
      </c>
      <c r="B173" s="6" t="str">
        <f>IFERROR(VLOOKUP($A173,参会名单!$A$2:$K$201,2,FALSE),"")</f>
        <v>蒋桐</v>
      </c>
      <c r="C173" s="6" t="str">
        <f>IFERROR(VLOOKUP($A173,参会名单!$A$2:$K$201,3,FALSE),"")</f>
        <v>鹏城理工学院</v>
      </c>
      <c r="D173" s="7" t="str">
        <f>IFERROR(VLOOKUP($A173,参会名单!$A$2:$K$201,7,FALSE),"")</f>
        <v>学生</v>
      </c>
      <c r="E173" s="5" t="inlineStr">
        <is>
          <t>已签到</t>
        </is>
      </c>
      <c r="F173" s="8" t="n">
        <v>0.4395833333333333</v>
      </c>
      <c r="G173" s="5" t="inlineStr">
        <is>
          <t>扫码</t>
        </is>
      </c>
      <c r="H173" s="5" t="inlineStr">
        <is>
          <t>是</t>
        </is>
      </c>
      <c r="I173" s="9" t="inlineStr"/>
    </row>
    <row r="174">
      <c r="A174" s="5" t="n">
        <v>173</v>
      </c>
      <c r="B174" s="6" t="str">
        <f>IFERROR(VLOOKUP($A174,参会名单!$A$2:$K$201,2,FALSE),"")</f>
        <v>郑杰</v>
      </c>
      <c r="C174" s="6" t="str">
        <f>IFERROR(VLOOKUP($A174,参会名单!$A$2:$K$201,3,FALSE),"")</f>
        <v>南粤科技大学</v>
      </c>
      <c r="D174" s="7" t="str">
        <f>IFERROR(VLOOKUP($A174,参会名单!$A$2:$K$201,7,FALSE),"")</f>
        <v>学生</v>
      </c>
      <c r="E174" s="5" t="inlineStr">
        <is>
          <t>已签到</t>
        </is>
      </c>
      <c r="F174" s="8" t="n">
        <v>0.3909722222222222</v>
      </c>
      <c r="G174" s="5" t="inlineStr">
        <is>
          <t>人脸识别</t>
        </is>
      </c>
      <c r="H174" s="5" t="inlineStr">
        <is>
          <t>是</t>
        </is>
      </c>
      <c r="I174" s="9" t="inlineStr"/>
    </row>
    <row r="175">
      <c r="A175" s="5" t="n">
        <v>174</v>
      </c>
      <c r="B175" s="6" t="str">
        <f>IFERROR(VLOOKUP($A175,参会名单!$A$2:$K$201,2,FALSE),"")</f>
        <v>徐明</v>
      </c>
      <c r="C175" s="6" t="str">
        <f>IFERROR(VLOOKUP($A175,参会名单!$A$2:$K$201,3,FALSE),"")</f>
        <v>南粤科技大学</v>
      </c>
      <c r="D175" s="7" t="str">
        <f>IFERROR(VLOOKUP($A175,参会名单!$A$2:$K$201,7,FALSE),"")</f>
        <v>学生</v>
      </c>
      <c r="E175" s="5" t="inlineStr">
        <is>
          <t>已签到</t>
        </is>
      </c>
      <c r="F175" s="8" t="n">
        <v>0.40625</v>
      </c>
      <c r="G175" s="5" t="inlineStr">
        <is>
          <t>扫码</t>
        </is>
      </c>
      <c r="H175" s="5" t="inlineStr">
        <is>
          <t>是</t>
        </is>
      </c>
      <c r="I175" s="9" t="inlineStr"/>
    </row>
    <row r="176">
      <c r="A176" s="5" t="n">
        <v>175</v>
      </c>
      <c r="B176" s="6" t="str">
        <f>IFERROR(VLOOKUP($A176,参会名单!$A$2:$K$201,2,FALSE),"")</f>
        <v>彭宁</v>
      </c>
      <c r="C176" s="6" t="str">
        <f>IFERROR(VLOOKUP($A176,参会名单!$A$2:$K$201,3,FALSE),"")</f>
        <v>湾区信息学院</v>
      </c>
      <c r="D176" s="7" t="str">
        <f>IFERROR(VLOOKUP($A176,参会名单!$A$2:$K$201,7,FALSE),"")</f>
        <v>学生</v>
      </c>
      <c r="E176" s="5" t="inlineStr">
        <is>
          <t>请假</t>
        </is>
      </c>
      <c r="F176" s="8" t="n"/>
      <c r="G176" s="5" t="n"/>
      <c r="H176" s="5" t="inlineStr">
        <is>
          <t>否</t>
        </is>
      </c>
      <c r="I176" s="9" t="inlineStr"/>
    </row>
    <row r="177">
      <c r="A177" s="5" t="n">
        <v>176</v>
      </c>
      <c r="B177" s="6" t="str">
        <f>IFERROR(VLOOKUP($A177,参会名单!$A$2:$K$201,2,FALSE),"")</f>
        <v>郭明博</v>
      </c>
      <c r="C177" s="6" t="str">
        <f>IFERROR(VLOOKUP($A177,参会名单!$A$2:$K$201,3,FALSE),"")</f>
        <v>湾区信息学院</v>
      </c>
      <c r="D177" s="7" t="str">
        <f>IFERROR(VLOOKUP($A177,参会名单!$A$2:$K$201,7,FALSE),"")</f>
        <v>学生</v>
      </c>
      <c r="E177" s="5" t="inlineStr">
        <is>
          <t>已签到</t>
        </is>
      </c>
      <c r="F177" s="8" t="n">
        <v>0.4027777777777778</v>
      </c>
      <c r="G177" s="5" t="inlineStr">
        <is>
          <t>人脸识别</t>
        </is>
      </c>
      <c r="H177" s="5" t="inlineStr">
        <is>
          <t>是</t>
        </is>
      </c>
      <c r="I177" s="9" t="inlineStr">
        <is>
          <t>需开具增值税专用发票</t>
        </is>
      </c>
    </row>
    <row r="178">
      <c r="A178" s="5" t="n">
        <v>177</v>
      </c>
      <c r="B178" s="6" t="str">
        <f>IFERROR(VLOOKUP($A178,参会名单!$A$2:$K$201,2,FALSE),"")</f>
        <v>冯洋宁</v>
      </c>
      <c r="C178" s="6" t="str">
        <f>IFERROR(VLOOKUP($A178,参会名单!$A$2:$K$201,3,FALSE),"")</f>
        <v>南粤科技大学</v>
      </c>
      <c r="D178" s="7" t="str">
        <f>IFERROR(VLOOKUP($A178,参会名单!$A$2:$K$201,7,FALSE),"")</f>
        <v>学生</v>
      </c>
      <c r="E178" s="5" t="inlineStr">
        <is>
          <t>已签到</t>
        </is>
      </c>
      <c r="F178" s="8" t="n">
        <v>0.3597222222222222</v>
      </c>
      <c r="G178" s="5" t="inlineStr">
        <is>
          <t>扫码</t>
        </is>
      </c>
      <c r="H178" s="5" t="inlineStr">
        <is>
          <t>是</t>
        </is>
      </c>
      <c r="I178" s="9" t="inlineStr"/>
    </row>
    <row r="179">
      <c r="A179" s="5" t="n">
        <v>178</v>
      </c>
      <c r="B179" s="6" t="str">
        <f>IFERROR(VLOOKUP($A179,参会名单!$A$2:$K$201,2,FALSE),"")</f>
        <v>徐平芳</v>
      </c>
      <c r="C179" s="6" t="str">
        <f>IFERROR(VLOOKUP($A179,参会名单!$A$2:$K$201,3,FALSE),"")</f>
        <v>湾区信息学院</v>
      </c>
      <c r="D179" s="7" t="str">
        <f>IFERROR(VLOOKUP($A179,参会名单!$A$2:$K$201,7,FALSE),"")</f>
        <v>学生</v>
      </c>
      <c r="E179" s="5" t="inlineStr">
        <is>
          <t>未签到</t>
        </is>
      </c>
      <c r="F179" s="8" t="n"/>
      <c r="G179" s="5" t="n"/>
      <c r="H179" s="5" t="inlineStr">
        <is>
          <t>否</t>
        </is>
      </c>
      <c r="I179" s="9" t="inlineStr"/>
    </row>
    <row r="180">
      <c r="A180" s="5" t="n">
        <v>179</v>
      </c>
      <c r="B180" s="6" t="str">
        <f>IFERROR(VLOOKUP($A180,参会名单!$A$2:$K$201,2,FALSE),"")</f>
        <v>董磊桐</v>
      </c>
      <c r="C180" s="6" t="str">
        <f>IFERROR(VLOOKUP($A180,参会名单!$A$2:$K$201,3,FALSE),"")</f>
        <v>湾区信息学院</v>
      </c>
      <c r="D180" s="7" t="str">
        <f>IFERROR(VLOOKUP($A180,参会名单!$A$2:$K$201,7,FALSE),"")</f>
        <v>学生</v>
      </c>
      <c r="E180" s="5" t="inlineStr">
        <is>
          <t>已签到</t>
        </is>
      </c>
      <c r="F180" s="8" t="n">
        <v>0.3694444444444445</v>
      </c>
      <c r="G180" s="5" t="inlineStr">
        <is>
          <t>扫码</t>
        </is>
      </c>
      <c r="H180" s="5" t="inlineStr">
        <is>
          <t>是</t>
        </is>
      </c>
      <c r="I180" s="9" t="inlineStr"/>
    </row>
    <row r="181">
      <c r="A181" s="5" t="n">
        <v>180</v>
      </c>
      <c r="B181" s="6" t="str">
        <f>IFERROR(VLOOKUP($A181,参会名单!$A$2:$K$201,2,FALSE),"")</f>
        <v>黄静宁</v>
      </c>
      <c r="C181" s="6" t="str">
        <f>IFERROR(VLOOKUP($A181,参会名单!$A$2:$K$201,3,FALSE),"")</f>
        <v>南粤科技大学</v>
      </c>
      <c r="D181" s="7" t="str">
        <f>IFERROR(VLOOKUP($A181,参会名单!$A$2:$K$201,7,FALSE),"")</f>
        <v>学生</v>
      </c>
      <c r="E181" s="5" t="inlineStr">
        <is>
          <t>未签到</t>
        </is>
      </c>
      <c r="F181" s="8" t="n"/>
      <c r="G181" s="5" t="n"/>
      <c r="H181" s="5" t="inlineStr">
        <is>
          <t>否</t>
        </is>
      </c>
      <c r="I181" s="9" t="inlineStr"/>
    </row>
    <row r="182">
      <c r="A182" s="5" t="n">
        <v>181</v>
      </c>
      <c r="B182" s="6" t="str">
        <f>IFERROR(VLOOKUP($A182,参会名单!$A$2:$K$201,2,FALSE),"")</f>
        <v>孙静</v>
      </c>
      <c r="C182" s="6" t="str">
        <f>IFERROR(VLOOKUP($A182,参会名单!$A$2:$K$201,3,FALSE),"")</f>
        <v>星瀚科技</v>
      </c>
      <c r="D182" s="7" t="str">
        <f>IFERROR(VLOOKUP($A182,参会名单!$A$2:$K$201,7,FALSE),"")</f>
        <v>赞助商</v>
      </c>
      <c r="E182" s="5" t="inlineStr">
        <is>
          <t>已签到</t>
        </is>
      </c>
      <c r="F182" s="8" t="n">
        <v>0.4111111111111111</v>
      </c>
      <c r="G182" s="5" t="inlineStr">
        <is>
          <t>扫码</t>
        </is>
      </c>
      <c r="H182" s="5" t="inlineStr">
        <is>
          <t>是</t>
        </is>
      </c>
      <c r="I182" s="9" t="inlineStr"/>
    </row>
    <row r="183">
      <c r="A183" s="5" t="n">
        <v>182</v>
      </c>
      <c r="B183" s="6" t="str">
        <f>IFERROR(VLOOKUP($A183,参会名单!$A$2:$K$201,2,FALSE),"")</f>
        <v>冯文敏</v>
      </c>
      <c r="C183" s="6" t="str">
        <f>IFERROR(VLOOKUP($A183,参会名单!$A$2:$K$201,3,FALSE),"")</f>
        <v>星环动力</v>
      </c>
      <c r="D183" s="7" t="str">
        <f>IFERROR(VLOOKUP($A183,参会名单!$A$2:$K$201,7,FALSE),"")</f>
        <v>赞助商</v>
      </c>
      <c r="E183" s="5" t="inlineStr">
        <is>
          <t>已签到</t>
        </is>
      </c>
      <c r="F183" s="8" t="n">
        <v>0.36875</v>
      </c>
      <c r="G183" s="5" t="inlineStr">
        <is>
          <t>前台登记</t>
        </is>
      </c>
      <c r="H183" s="5" t="inlineStr">
        <is>
          <t>是</t>
        </is>
      </c>
      <c r="I183" s="9" t="inlineStr"/>
    </row>
    <row r="184">
      <c r="A184" s="5" t="n">
        <v>183</v>
      </c>
      <c r="B184" s="6" t="str">
        <f>IFERROR(VLOOKUP($A184,参会名单!$A$2:$K$201,2,FALSE),"")</f>
        <v>徐怡</v>
      </c>
      <c r="C184" s="6" t="str">
        <f>IFERROR(VLOOKUP($A184,参会名单!$A$2:$K$201,3,FALSE),"")</f>
        <v>微光信息</v>
      </c>
      <c r="D184" s="7" t="str">
        <f>IFERROR(VLOOKUP($A184,参会名单!$A$2:$K$201,7,FALSE),"")</f>
        <v>赞助商</v>
      </c>
      <c r="E184" s="5" t="inlineStr">
        <is>
          <t>未签到</t>
        </is>
      </c>
      <c r="F184" s="8" t="n"/>
      <c r="G184" s="5" t="n"/>
      <c r="H184" s="5" t="inlineStr">
        <is>
          <t>否</t>
        </is>
      </c>
      <c r="I184" s="9" t="inlineStr"/>
    </row>
    <row r="185">
      <c r="A185" s="5" t="n">
        <v>184</v>
      </c>
      <c r="B185" s="6" t="str">
        <f>IFERROR(VLOOKUP($A185,参会名单!$A$2:$K$201,2,FALSE),"")</f>
        <v>董彤</v>
      </c>
      <c r="C185" s="6" t="str">
        <f>IFERROR(VLOOKUP($A185,参会名单!$A$2:$K$201,3,FALSE),"")</f>
        <v>微光信息</v>
      </c>
      <c r="D185" s="7" t="str">
        <f>IFERROR(VLOOKUP($A185,参会名单!$A$2:$K$201,7,FALSE),"")</f>
        <v>赞助商</v>
      </c>
      <c r="E185" s="5" t="inlineStr">
        <is>
          <t>已签到</t>
        </is>
      </c>
      <c r="F185" s="8" t="n">
        <v>0.3923611111111111</v>
      </c>
      <c r="G185" s="5" t="inlineStr">
        <is>
          <t>人脸识别</t>
        </is>
      </c>
      <c r="H185" s="5" t="inlineStr">
        <is>
          <t>是</t>
        </is>
      </c>
      <c r="I185" s="9" t="inlineStr"/>
    </row>
    <row r="186">
      <c r="A186" s="5" t="n">
        <v>185</v>
      </c>
      <c r="B186" s="6" t="str">
        <f>IFERROR(VLOOKUP($A186,参会名单!$A$2:$K$201,2,FALSE),"")</f>
        <v>何泽宇</v>
      </c>
      <c r="C186" s="6" t="str">
        <f>IFERROR(VLOOKUP($A186,参会名单!$A$2:$K$201,3,FALSE),"")</f>
        <v>蜂巢科技</v>
      </c>
      <c r="D186" s="7" t="str">
        <f>IFERROR(VLOOKUP($A186,参会名单!$A$2:$K$201,7,FALSE),"")</f>
        <v>赞助商</v>
      </c>
      <c r="E186" s="5" t="inlineStr">
        <is>
          <t>已签到</t>
        </is>
      </c>
      <c r="F186" s="8" t="n">
        <v>0.3756944444444444</v>
      </c>
      <c r="G186" s="5" t="inlineStr">
        <is>
          <t>扫码</t>
        </is>
      </c>
      <c r="H186" s="5" t="inlineStr">
        <is>
          <t>是</t>
        </is>
      </c>
      <c r="I186" s="9" t="inlineStr"/>
    </row>
    <row r="187">
      <c r="A187" s="5" t="n">
        <v>186</v>
      </c>
      <c r="B187" s="6" t="str">
        <f>IFERROR(VLOOKUP($A187,参会名单!$A$2:$K$201,2,FALSE),"")</f>
        <v>孙洋</v>
      </c>
      <c r="C187" s="6" t="str">
        <f>IFERROR(VLOOKUP($A187,参会名单!$A$2:$K$201,3,FALSE),"")</f>
        <v>领航智造</v>
      </c>
      <c r="D187" s="7" t="str">
        <f>IFERROR(VLOOKUP($A187,参会名单!$A$2:$K$201,7,FALSE),"")</f>
        <v>赞助商</v>
      </c>
      <c r="E187" s="5" t="inlineStr">
        <is>
          <t>已签到</t>
        </is>
      </c>
      <c r="F187" s="8" t="n">
        <v>0.3625</v>
      </c>
      <c r="G187" s="5" t="inlineStr">
        <is>
          <t>前台登记</t>
        </is>
      </c>
      <c r="H187" s="5" t="inlineStr">
        <is>
          <t>否</t>
        </is>
      </c>
      <c r="I187" s="9" t="inlineStr"/>
    </row>
    <row r="188">
      <c r="A188" s="5" t="n">
        <v>187</v>
      </c>
      <c r="B188" s="6" t="str">
        <f>IFERROR(VLOOKUP($A188,参会名单!$A$2:$K$201,2,FALSE),"")</f>
        <v>韩明睿</v>
      </c>
      <c r="C188" s="6" t="str">
        <f>IFERROR(VLOOKUP($A188,参会名单!$A$2:$K$201,3,FALSE),"")</f>
        <v>极光数据</v>
      </c>
      <c r="D188" s="7" t="str">
        <f>IFERROR(VLOOKUP($A188,参会名单!$A$2:$K$201,7,FALSE),"")</f>
        <v>赞助商</v>
      </c>
      <c r="E188" s="5" t="inlineStr">
        <is>
          <t>已签到</t>
        </is>
      </c>
      <c r="F188" s="8" t="n">
        <v>0.3819444444444444</v>
      </c>
      <c r="G188" s="5" t="inlineStr">
        <is>
          <t>人脸识别</t>
        </is>
      </c>
      <c r="H188" s="5" t="inlineStr">
        <is>
          <t>是</t>
        </is>
      </c>
      <c r="I188" s="9" t="inlineStr"/>
    </row>
    <row r="189">
      <c r="A189" s="5" t="n">
        <v>188</v>
      </c>
      <c r="B189" s="6" t="str">
        <f>IFERROR(VLOOKUP($A189,参会名单!$A$2:$K$201,2,FALSE),"")</f>
        <v>黄芳刚</v>
      </c>
      <c r="C189" s="6" t="str">
        <f>IFERROR(VLOOKUP($A189,参会名单!$A$2:$K$201,3,FALSE),"")</f>
        <v>蜂巢科技</v>
      </c>
      <c r="D189" s="7" t="str">
        <f>IFERROR(VLOOKUP($A189,参会名单!$A$2:$K$201,7,FALSE),"")</f>
        <v>赞助商</v>
      </c>
      <c r="E189" s="5" t="inlineStr">
        <is>
          <t>已签到</t>
        </is>
      </c>
      <c r="F189" s="8" t="n">
        <v>0.3916666666666667</v>
      </c>
      <c r="G189" s="5" t="inlineStr">
        <is>
          <t>前台登记</t>
        </is>
      </c>
      <c r="H189" s="5" t="inlineStr">
        <is>
          <t>是</t>
        </is>
      </c>
      <c r="I189" s="9" t="inlineStr"/>
    </row>
    <row r="190">
      <c r="A190" s="5" t="n">
        <v>189</v>
      </c>
      <c r="B190" s="6" t="str">
        <f>IFERROR(VLOOKUP($A190,参会名单!$A$2:$K$201,2,FALSE),"")</f>
        <v>李宁嘉</v>
      </c>
      <c r="C190" s="6" t="str">
        <f>IFERROR(VLOOKUP($A190,参会名单!$A$2:$K$201,3,FALSE),"")</f>
        <v>蓝图网络</v>
      </c>
      <c r="D190" s="7" t="str">
        <f>IFERROR(VLOOKUP($A190,参会名单!$A$2:$K$201,7,FALSE),"")</f>
        <v>赞助商</v>
      </c>
      <c r="E190" s="5" t="inlineStr">
        <is>
          <t>已签到</t>
        </is>
      </c>
      <c r="F190" s="8" t="n">
        <v>0.3840277777777778</v>
      </c>
      <c r="G190" s="5" t="inlineStr">
        <is>
          <t>人脸识别</t>
        </is>
      </c>
      <c r="H190" s="5" t="inlineStr">
        <is>
          <t>是</t>
        </is>
      </c>
      <c r="I190" s="9" t="inlineStr"/>
    </row>
    <row r="191">
      <c r="A191" s="5" t="n">
        <v>190</v>
      </c>
      <c r="B191" s="6" t="str">
        <f>IFERROR(VLOOKUP($A191,参会名单!$A$2:$K$201,2,FALSE),"")</f>
        <v>曹宇</v>
      </c>
      <c r="C191" s="6" t="str">
        <f>IFERROR(VLOOKUP($A191,参会名单!$A$2:$K$201,3,FALSE),"")</f>
        <v>星瀚科技</v>
      </c>
      <c r="D191" s="7" t="str">
        <f>IFERROR(VLOOKUP($A191,参会名单!$A$2:$K$201,7,FALSE),"")</f>
        <v>赞助商</v>
      </c>
      <c r="E191" s="5" t="inlineStr">
        <is>
          <t>已签到</t>
        </is>
      </c>
      <c r="F191" s="8" t="n">
        <v>0.3659722222222222</v>
      </c>
      <c r="G191" s="5" t="inlineStr">
        <is>
          <t>扫码</t>
        </is>
      </c>
      <c r="H191" s="5" t="inlineStr">
        <is>
          <t>是</t>
        </is>
      </c>
      <c r="I191" s="9" t="inlineStr"/>
    </row>
    <row r="192">
      <c r="A192" s="5" t="n">
        <v>191</v>
      </c>
      <c r="B192" s="6" t="str">
        <f>IFERROR(VLOOKUP($A192,参会名单!$A$2:$K$201,2,FALSE),"")</f>
        <v>高平</v>
      </c>
      <c r="C192" s="6" t="str">
        <f>IFERROR(VLOOKUP($A192,参会名单!$A$2:$K$201,3,FALSE),"")</f>
        <v>蜂巢科技</v>
      </c>
      <c r="D192" s="7" t="str">
        <f>IFERROR(VLOOKUP($A192,参会名单!$A$2:$K$201,7,FALSE),"")</f>
        <v>赞助商</v>
      </c>
      <c r="E192" s="5" t="inlineStr">
        <is>
          <t>已签到</t>
        </is>
      </c>
      <c r="F192" s="8" t="n">
        <v>0.3798611111111111</v>
      </c>
      <c r="G192" s="5" t="inlineStr">
        <is>
          <t>扫码</t>
        </is>
      </c>
      <c r="H192" s="5" t="inlineStr">
        <is>
          <t>是</t>
        </is>
      </c>
      <c r="I192" s="9" t="inlineStr"/>
    </row>
    <row r="193">
      <c r="A193" s="5" t="n">
        <v>192</v>
      </c>
      <c r="B193" s="6" t="str">
        <f>IFERROR(VLOOKUP($A193,参会名单!$A$2:$K$201,2,FALSE),"")</f>
        <v>宋博</v>
      </c>
      <c r="C193" s="6" t="str">
        <f>IFERROR(VLOOKUP($A193,参会名单!$A$2:$K$201,3,FALSE),"")</f>
        <v>领航智造</v>
      </c>
      <c r="D193" s="7" t="str">
        <f>IFERROR(VLOOKUP($A193,参会名单!$A$2:$K$201,7,FALSE),"")</f>
        <v>赞助商</v>
      </c>
      <c r="E193" s="5" t="inlineStr">
        <is>
          <t>已签到</t>
        </is>
      </c>
      <c r="F193" s="8" t="n">
        <v>0.4076388888888889</v>
      </c>
      <c r="G193" s="5" t="inlineStr">
        <is>
          <t>扫码</t>
        </is>
      </c>
      <c r="H193" s="5" t="inlineStr">
        <is>
          <t>是</t>
        </is>
      </c>
      <c r="I193" s="9" t="inlineStr"/>
    </row>
    <row r="194">
      <c r="A194" s="5" t="n">
        <v>193</v>
      </c>
      <c r="B194" s="6" t="str">
        <f>IFERROR(VLOOKUP($A194,参会名单!$A$2:$K$201,2,FALSE),"")</f>
        <v>徐涛</v>
      </c>
      <c r="C194" s="6" t="str">
        <f>IFERROR(VLOOKUP($A194,参会名单!$A$2:$K$201,3,FALSE),"")</f>
        <v>蜂巢科技</v>
      </c>
      <c r="D194" s="7" t="str">
        <f>IFERROR(VLOOKUP($A194,参会名单!$A$2:$K$201,7,FALSE),"")</f>
        <v>赞助商</v>
      </c>
      <c r="E194" s="5" t="inlineStr">
        <is>
          <t>已签到</t>
        </is>
      </c>
      <c r="F194" s="8" t="n">
        <v>0.3631944444444444</v>
      </c>
      <c r="G194" s="5" t="inlineStr">
        <is>
          <t>前台登记</t>
        </is>
      </c>
      <c r="H194" s="5" t="inlineStr">
        <is>
          <t>是</t>
        </is>
      </c>
      <c r="I194" s="9" t="inlineStr"/>
    </row>
    <row r="195">
      <c r="A195" s="5" t="n">
        <v>194</v>
      </c>
      <c r="B195" s="6" t="str">
        <f>IFERROR(VLOOKUP($A195,参会名单!$A$2:$K$201,2,FALSE),"")</f>
        <v>周娟雨</v>
      </c>
      <c r="C195" s="6" t="str">
        <f>IFERROR(VLOOKUP($A195,参会名单!$A$2:$K$201,3,FALSE),"")</f>
        <v>蓝图网络</v>
      </c>
      <c r="D195" s="7" t="str">
        <f>IFERROR(VLOOKUP($A195,参会名单!$A$2:$K$201,7,FALSE),"")</f>
        <v>赞助商</v>
      </c>
      <c r="E195" s="5" t="inlineStr">
        <is>
          <t>已签到</t>
        </is>
      </c>
      <c r="F195" s="8" t="n">
        <v>0.3555555555555556</v>
      </c>
      <c r="G195" s="5" t="inlineStr">
        <is>
          <t>扫码</t>
        </is>
      </c>
      <c r="H195" s="5" t="inlineStr">
        <is>
          <t>是</t>
        </is>
      </c>
      <c r="I195" s="9" t="inlineStr"/>
    </row>
    <row r="196">
      <c r="A196" s="5" t="n">
        <v>195</v>
      </c>
      <c r="B196" s="6" t="str">
        <f>IFERROR(VLOOKUP($A196,参会名单!$A$2:$K$201,2,FALSE),"")</f>
        <v>梁博</v>
      </c>
      <c r="C196" s="6" t="str">
        <f>IFERROR(VLOOKUP($A196,参会名单!$A$2:$K$201,3,FALSE),"")</f>
        <v>灵犀科技</v>
      </c>
      <c r="D196" s="7" t="str">
        <f>IFERROR(VLOOKUP($A196,参会名单!$A$2:$K$201,7,FALSE),"")</f>
        <v>赞助商</v>
      </c>
      <c r="E196" s="5" t="inlineStr">
        <is>
          <t>已签到</t>
        </is>
      </c>
      <c r="F196" s="8" t="n">
        <v>0.3513888888888889</v>
      </c>
      <c r="G196" s="5" t="inlineStr">
        <is>
          <t>人脸识别</t>
        </is>
      </c>
      <c r="H196" s="5" t="inlineStr">
        <is>
          <t>是</t>
        </is>
      </c>
      <c r="I196" s="9" t="inlineStr">
        <is>
          <t>媒体嘉宾，需安排采访位</t>
        </is>
      </c>
    </row>
    <row r="197">
      <c r="A197" s="5" t="n">
        <v>196</v>
      </c>
      <c r="B197" s="6" t="str">
        <f>IFERROR(VLOOKUP($A197,参会名单!$A$2:$K$201,2,FALSE),"")</f>
        <v>徐博</v>
      </c>
      <c r="C197" s="6" t="str">
        <f>IFERROR(VLOOKUP($A197,参会名单!$A$2:$K$201,3,FALSE),"")</f>
        <v>智汇云</v>
      </c>
      <c r="D197" s="7" t="str">
        <f>IFERROR(VLOOKUP($A197,参会名单!$A$2:$K$201,7,FALSE),"")</f>
        <v>赞助商</v>
      </c>
      <c r="E197" s="5" t="inlineStr">
        <is>
          <t>已签到</t>
        </is>
      </c>
      <c r="F197" s="8" t="n">
        <v>0.3777777777777778</v>
      </c>
      <c r="G197" s="5" t="inlineStr">
        <is>
          <t>扫码</t>
        </is>
      </c>
      <c r="H197" s="5" t="inlineStr">
        <is>
          <t>否</t>
        </is>
      </c>
      <c r="I197" s="9" t="inlineStr"/>
    </row>
    <row r="198">
      <c r="A198" s="5" t="n">
        <v>197</v>
      </c>
      <c r="B198" s="6" t="str">
        <f>IFERROR(VLOOKUP($A198,参会名单!$A$2:$K$201,2,FALSE),"")</f>
        <v>何彤</v>
      </c>
      <c r="C198" s="6" t="str">
        <f>IFERROR(VLOOKUP($A198,参会名单!$A$2:$K$201,3,FALSE),"")</f>
        <v>深蓝计算</v>
      </c>
      <c r="D198" s="7" t="str">
        <f>IFERROR(VLOOKUP($A198,参会名单!$A$2:$K$201,7,FALSE),"")</f>
        <v>赞助商</v>
      </c>
      <c r="E198" s="5" t="inlineStr">
        <is>
          <t>已签到</t>
        </is>
      </c>
      <c r="F198" s="8" t="n">
        <v>0.4458333333333334</v>
      </c>
      <c r="G198" s="5" t="inlineStr">
        <is>
          <t>扫码</t>
        </is>
      </c>
      <c r="H198" s="5" t="inlineStr">
        <is>
          <t>是</t>
        </is>
      </c>
      <c r="I198" s="9" t="inlineStr"/>
    </row>
    <row r="199">
      <c r="A199" s="5" t="n">
        <v>198</v>
      </c>
      <c r="B199" s="6" t="str">
        <f>IFERROR(VLOOKUP($A199,参会名单!$A$2:$K$201,2,FALSE),"")</f>
        <v>罗伟</v>
      </c>
      <c r="C199" s="6" t="str">
        <f>IFERROR(VLOOKUP($A199,参会名单!$A$2:$K$201,3,FALSE),"")</f>
        <v>启元软件</v>
      </c>
      <c r="D199" s="7" t="str">
        <f>IFERROR(VLOOKUP($A199,参会名单!$A$2:$K$201,7,FALSE),"")</f>
        <v>赞助商</v>
      </c>
      <c r="E199" s="5" t="inlineStr">
        <is>
          <t>已签到</t>
        </is>
      </c>
      <c r="F199" s="8" t="n">
        <v>0.3770833333333333</v>
      </c>
      <c r="G199" s="5" t="inlineStr">
        <is>
          <t>人脸识别</t>
        </is>
      </c>
      <c r="H199" s="5" t="inlineStr">
        <is>
          <t>是</t>
        </is>
      </c>
      <c r="I199" s="9" t="inlineStr"/>
    </row>
    <row r="200">
      <c r="A200" s="5" t="n">
        <v>199</v>
      </c>
      <c r="B200" s="6" t="str">
        <f>IFERROR(VLOOKUP($A200,参会名单!$A$2:$K$201,2,FALSE),"")</f>
        <v>潘芳</v>
      </c>
      <c r="C200" s="6" t="str">
        <f>IFERROR(VLOOKUP($A200,参会名单!$A$2:$K$201,3,FALSE),"")</f>
        <v>蓝图网络</v>
      </c>
      <c r="D200" s="7" t="str">
        <f>IFERROR(VLOOKUP($A200,参会名单!$A$2:$K$201,7,FALSE),"")</f>
        <v>赞助商</v>
      </c>
      <c r="E200" s="5" t="inlineStr">
        <is>
          <t>已签到</t>
        </is>
      </c>
      <c r="F200" s="8" t="n">
        <v>0.3951388888888889</v>
      </c>
      <c r="G200" s="5" t="inlineStr">
        <is>
          <t>扫码</t>
        </is>
      </c>
      <c r="H200" s="5" t="inlineStr">
        <is>
          <t>是</t>
        </is>
      </c>
      <c r="I200" s="9" t="inlineStr"/>
    </row>
    <row r="201">
      <c r="A201" s="5" t="n">
        <v>200</v>
      </c>
      <c r="B201" s="6" t="str">
        <f>IFERROR(VLOOKUP($A201,参会名单!$A$2:$K$201,2,FALSE),"")</f>
        <v>孙嘉</v>
      </c>
      <c r="C201" s="6" t="str">
        <f>IFERROR(VLOOKUP($A201,参会名单!$A$2:$K$201,3,FALSE),"")</f>
        <v>启元软件</v>
      </c>
      <c r="D201" s="7" t="str">
        <f>IFERROR(VLOOKUP($A201,参会名单!$A$2:$K$201,7,FALSE),"")</f>
        <v>赞助商</v>
      </c>
      <c r="E201" s="5" t="inlineStr">
        <is>
          <t>已签到</t>
        </is>
      </c>
      <c r="F201" s="8" t="n">
        <v>0.3388888888888889</v>
      </c>
      <c r="G201" s="5" t="inlineStr">
        <is>
          <t>前台登记</t>
        </is>
      </c>
      <c r="H201" s="5" t="inlineStr">
        <is>
          <t>是</t>
        </is>
      </c>
      <c r="I201" s="9" t="inlineStr"/>
    </row>
  </sheetData>
  <autoFilter ref="A1:I201"/>
  <conditionalFormatting sqref="E2:E201">
    <cfRule type="cellIs" priority="1" operator="equal" dxfId="0">
      <formula>"已签到"</formula>
    </cfRule>
    <cfRule type="cellIs" priority="2" operator="equal" dxfId="1">
      <formula>"未签到"</formula>
    </cfRule>
    <cfRule type="cellIs" priority="3" operator="equal" dxfId="2">
      <formula>"请假"</formula>
    </cfRule>
  </conditionalFormatting>
  <dataValidations count="3">
    <dataValidation sqref="E2:E201" showDropDown="0" showInputMessage="0" showErrorMessage="0" allowBlank="0" errorTitle="签到状态无效" error="请从下拉列表中选择：已签到 / 未签到 / 请假" type="list">
      <formula1>"已签到,未签到,请假"</formula1>
    </dataValidation>
    <dataValidation sqref="G2:G201" showDropDown="0" showInputMessage="0" showErrorMessage="0" allowBlank="1" errorTitle="签到方式无效" error="请从下拉列表中选择：扫码 / 人脸识别 / 前台登记" type="list">
      <formula1>"扫码,人脸识别,前台登记"</formula1>
    </dataValidation>
    <dataValidation sqref="H2:H201" showDropDown="0" showInputMessage="0" showErrorMessage="0" allowBlank="1" type="list">
      <formula1>"是,否"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472C4"/>
    <outlinePr summaryBelow="1" summaryRight="1"/>
    <pageSetUpPr fitToPage="1"/>
  </sheetPr>
  <dimension ref="A1:H4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2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10" t="inlineStr">
        <is>
          <t>TechVision 2026 全球开发者峰会 · 签到数据统计</t>
        </is>
      </c>
    </row>
    <row r="2" ht="20" customHeight="1">
      <c r="A2" s="11" t="inlineStr">
        <is>
          <t>2026 年 5 月 20 日 · 深圳国际会展中心 5 号馆    |    数据口径：签到追踪表全量记录（含请假）</t>
        </is>
      </c>
    </row>
    <row r="4" ht="22" customHeight="1">
      <c r="A4" s="12" t="inlineStr">
        <is>
          <t>一、到场概览</t>
        </is>
      </c>
      <c r="B4" s="13" t="n"/>
      <c r="C4" s="13" t="n"/>
      <c r="D4" s="13" t="n"/>
      <c r="E4" s="13" t="n"/>
      <c r="F4" s="13" t="n"/>
      <c r="G4" s="13" t="n"/>
      <c r="H4" s="13" t="n"/>
    </row>
    <row r="5" ht="20" customHeight="1">
      <c r="A5" s="14" t="inlineStr">
        <is>
          <t>总报名人数</t>
        </is>
      </c>
      <c r="B5" s="15" t="n"/>
      <c r="C5" s="14" t="inlineStr">
        <is>
          <t>已签到</t>
        </is>
      </c>
      <c r="D5" s="15" t="n"/>
      <c r="E5" s="14" t="inlineStr">
        <is>
          <t>未签到</t>
        </is>
      </c>
      <c r="F5" s="15" t="n"/>
      <c r="G5" s="14" t="inlineStr">
        <is>
          <t>到场率</t>
        </is>
      </c>
      <c r="H5" s="15" t="n"/>
    </row>
    <row r="6" ht="30" customHeight="1">
      <c r="A6" s="16">
        <f>COUNTA(参会名单!$A$2:$A$201)</f>
        <v>200.0</v>
      </c>
      <c r="B6" s="15" t="n"/>
      <c r="C6" s="16">
        <f>COUNTIF('签到追踪表'!$E$2:$E$201,"已签到")</f>
        <v>166.0</v>
      </c>
      <c r="D6" s="15" t="n"/>
      <c r="E6" s="16">
        <f>COUNTIF('签到追踪表'!$E$2:$E$201,"未签到")</f>
        <v>28.0</v>
      </c>
      <c r="F6" s="15" t="n"/>
      <c r="G6" s="17">
        <f>IF(OR($A$6="",$A$6=0),"",$C$6/$A$6)</f>
        <v>0.83</v>
      </c>
      <c r="H6" s="15" t="n"/>
    </row>
    <row r="8" ht="22" customHeight="1">
      <c r="A8" s="12" t="inlineStr">
        <is>
          <t>二、票种分布与到场率</t>
        </is>
      </c>
      <c r="B8" s="13" t="n"/>
      <c r="C8" s="13" t="n"/>
      <c r="D8" s="13" t="n"/>
      <c r="E8" s="13" t="n"/>
      <c r="F8" s="13" t="n"/>
      <c r="G8" s="13" t="n"/>
      <c r="H8" s="13" t="n"/>
    </row>
    <row r="9" ht="26" customHeight="1">
      <c r="A9" s="1" t="inlineStr">
        <is>
          <t>票种</t>
        </is>
      </c>
      <c r="B9" s="1" t="inlineStr">
        <is>
          <t>报名人数</t>
        </is>
      </c>
      <c r="C9" s="1" t="inlineStr">
        <is>
          <t>已签到</t>
        </is>
      </c>
      <c r="D9" s="1" t="inlineStr">
        <is>
          <t>未签到</t>
        </is>
      </c>
      <c r="E9" s="1" t="inlineStr">
        <is>
          <t>请假</t>
        </is>
      </c>
      <c r="F9" s="1" t="inlineStr">
        <is>
          <t>到场率</t>
        </is>
      </c>
      <c r="G9" s="1" t="inlineStr">
        <is>
          <t>报名占比</t>
        </is>
      </c>
    </row>
    <row r="10">
      <c r="A10" s="2" t="inlineStr">
        <is>
          <t>VIP</t>
        </is>
      </c>
      <c r="B10" s="2">
        <f>COUNTIF(参会名单!$G$2:$G$201,$A10)</f>
        <v>30.0</v>
      </c>
      <c r="C10" s="2">
        <f>COUNTIFS(参会名单!$G$2:$G$201,$A10,'签到追踪表'!$E$2:$E$201,"已签到")</f>
        <v>27.0</v>
      </c>
      <c r="D10" s="2">
        <f>COUNTIFS(参会名单!$G$2:$G$201,$A10,'签到追踪表'!$E$2:$E$201,"未签到")</f>
        <v>2.0</v>
      </c>
      <c r="E10" s="2">
        <f>COUNTIFS(参会名单!$G$2:$G$201,$A10,'签到追踪表'!$E$2:$E$201,"请假")</f>
        <v>1.0</v>
      </c>
      <c r="F10" s="18">
        <f>IF(OR(B10="",B10=0),"",C10/B10)</f>
        <v>0.9</v>
      </c>
      <c r="G10" s="18">
        <f>IF(OR($B$14="",$B$14=0),"",B10/$B$14)</f>
        <v>0.15</v>
      </c>
    </row>
    <row r="11">
      <c r="A11" s="2" t="inlineStr">
        <is>
          <t>标准</t>
        </is>
      </c>
      <c r="B11" s="2">
        <f>COUNTIF(参会名单!$G$2:$G$201,$A11)</f>
        <v>120.0</v>
      </c>
      <c r="C11" s="2">
        <f>COUNTIFS(参会名单!$G$2:$G$201,$A11,'签到追踪表'!$E$2:$E$201,"已签到")</f>
        <v>96.0</v>
      </c>
      <c r="D11" s="2">
        <f>COUNTIFS(参会名单!$G$2:$G$201,$A11,'签到追踪表'!$E$2:$E$201,"未签到")</f>
        <v>20.0</v>
      </c>
      <c r="E11" s="2">
        <f>COUNTIFS(参会名单!$G$2:$G$201,$A11,'签到追踪表'!$E$2:$E$201,"请假")</f>
        <v>4.0</v>
      </c>
      <c r="F11" s="18">
        <f>IF(OR(B11="",B11=0),"",C11/B11)</f>
        <v>0.8</v>
      </c>
      <c r="G11" s="18">
        <f>IF(OR($B$14="",$B$14=0),"",B11/$B$14)</f>
        <v>0.6</v>
      </c>
    </row>
    <row r="12">
      <c r="A12" s="2" t="inlineStr">
        <is>
          <t>学生</t>
        </is>
      </c>
      <c r="B12" s="2">
        <f>COUNTIF(参会名单!$G$2:$G$201,$A12)</f>
        <v>30.0</v>
      </c>
      <c r="C12" s="2">
        <f>COUNTIFS(参会名单!$G$2:$G$201,$A12,'签到追踪表'!$E$2:$E$201,"已签到")</f>
        <v>24.0</v>
      </c>
      <c r="D12" s="2">
        <f>COUNTIFS(参会名单!$G$2:$G$201,$A12,'签到追踪表'!$E$2:$E$201,"未签到")</f>
        <v>5.0</v>
      </c>
      <c r="E12" s="2">
        <f>COUNTIFS(参会名单!$G$2:$G$201,$A12,'签到追踪表'!$E$2:$E$201,"请假")</f>
        <v>1.0</v>
      </c>
      <c r="F12" s="18">
        <f>IF(OR(B12="",B12=0),"",C12/B12)</f>
        <v>0.8</v>
      </c>
      <c r="G12" s="18">
        <f>IF(OR($B$14="",$B$14=0),"",B12/$B$14)</f>
        <v>0.15</v>
      </c>
    </row>
    <row r="13">
      <c r="A13" s="2" t="inlineStr">
        <is>
          <t>赞助商</t>
        </is>
      </c>
      <c r="B13" s="2">
        <f>COUNTIF(参会名单!$G$2:$G$201,$A13)</f>
        <v>20.0</v>
      </c>
      <c r="C13" s="2">
        <f>COUNTIFS(参会名单!$G$2:$G$201,$A13,'签到追踪表'!$E$2:$E$201,"已签到")</f>
        <v>19.0</v>
      </c>
      <c r="D13" s="2">
        <f>COUNTIFS(参会名单!$G$2:$G$201,$A13,'签到追踪表'!$E$2:$E$201,"未签到")</f>
        <v>1.0</v>
      </c>
      <c r="E13" s="2">
        <f>COUNTIFS(参会名单!$G$2:$G$201,$A13,'签到追踪表'!$E$2:$E$201,"请假")</f>
        <v>0.0</v>
      </c>
      <c r="F13" s="18">
        <f>IF(OR(B13="",B13=0),"",C13/B13)</f>
        <v>0.95</v>
      </c>
      <c r="G13" s="18">
        <f>IF(OR($B$14="",$B$14=0),"",B13/$B$14)</f>
        <v>0.1</v>
      </c>
    </row>
    <row r="14">
      <c r="A14" s="19" t="inlineStr">
        <is>
          <t>合计</t>
        </is>
      </c>
      <c r="B14" s="19">
        <f>SUM(B10:B13)</f>
        <v>200.0</v>
      </c>
      <c r="C14" s="19">
        <f>SUM(C10:C13)</f>
        <v>166.0</v>
      </c>
      <c r="D14" s="19">
        <f>SUM(D10:D13)</f>
        <v>28.0</v>
      </c>
      <c r="E14" s="19">
        <f>SUM(E10:E13)</f>
        <v>6.0</v>
      </c>
      <c r="F14" s="20">
        <f>IF(OR(B14="",B14=0),"",C14/B14)</f>
        <v>0.83</v>
      </c>
      <c r="G14" s="20">
        <f>SUM(G10:G13)</f>
        <v>1.0</v>
      </c>
    </row>
    <row r="16" ht="22" customHeight="1">
      <c r="A16" s="12" t="inlineStr">
        <is>
          <t>三、公司分布（按报名人数 Top 12，含高校）</t>
        </is>
      </c>
      <c r="B16" s="13" t="n"/>
      <c r="C16" s="13" t="n"/>
      <c r="D16" s="13" t="n"/>
      <c r="E16" s="13" t="n"/>
      <c r="F16" s="13" t="n"/>
      <c r="G16" s="13" t="n"/>
      <c r="H16" s="13" t="n"/>
    </row>
    <row r="17" ht="26" customHeight="1">
      <c r="A17" s="1" t="inlineStr">
        <is>
          <t>公司 / 院校</t>
        </is>
      </c>
      <c r="B17" s="1" t="inlineStr">
        <is>
          <t>报名人数</t>
        </is>
      </c>
      <c r="C17" s="1" t="inlineStr">
        <is>
          <t>已签到</t>
        </is>
      </c>
      <c r="D17" s="1" t="inlineStr">
        <is>
          <t>到场率</t>
        </is>
      </c>
      <c r="E17" s="1" t="inlineStr">
        <is>
          <t>占全部报名</t>
        </is>
      </c>
    </row>
    <row r="18">
      <c r="A18" s="3" t="inlineStr">
        <is>
          <t>星瀚科技</t>
        </is>
      </c>
      <c r="B18" s="2">
        <f>COUNTIF(参会名单!$C$2:$C$201,$A18)</f>
        <v>20.0</v>
      </c>
      <c r="C18" s="2">
        <f>COUNTIFS(参会名单!$C$2:$C$201,$A18,'签到追踪表'!$E$2:$E$201,"已签到")</f>
        <v>18.0</v>
      </c>
      <c r="D18" s="18">
        <f>IF(OR(B18="",B18=0),"",C18/B18)</f>
        <v>0.9</v>
      </c>
      <c r="E18" s="18">
        <f>IF(OR($A$6="",$A$6=0),"",B18/$A$6)</f>
        <v>0.1</v>
      </c>
    </row>
    <row r="19">
      <c r="A19" s="3" t="inlineStr">
        <is>
          <t>云栖智能</t>
        </is>
      </c>
      <c r="B19" s="2">
        <f>COUNTIF(参会名单!$C$2:$C$201,$A19)</f>
        <v>20.0</v>
      </c>
      <c r="C19" s="2">
        <f>COUNTIFS(参会名单!$C$2:$C$201,$A19,'签到追踪表'!$E$2:$E$201,"已签到")</f>
        <v>18.0</v>
      </c>
      <c r="D19" s="18">
        <f>IF(OR(B19="",B19=0),"",C19/B19)</f>
        <v>0.9</v>
      </c>
      <c r="E19" s="18">
        <f>IF(OR($A$6="",$A$6=0),"",B19/$A$6)</f>
        <v>0.1</v>
      </c>
    </row>
    <row r="20">
      <c r="A20" s="3" t="inlineStr">
        <is>
          <t>领航智造</t>
        </is>
      </c>
      <c r="B20" s="2">
        <f>COUNTIF(参会名单!$C$2:$C$201,$A20)</f>
        <v>18.0</v>
      </c>
      <c r="C20" s="2">
        <f>COUNTIFS(参会名单!$C$2:$C$201,$A20,'签到追踪表'!$E$2:$E$201,"已签到")</f>
        <v>16.0</v>
      </c>
      <c r="D20" s="18">
        <f>IF(OR(B20="",B20=0),"",C20/B20)</f>
        <v>0.8888888888888888</v>
      </c>
      <c r="E20" s="18">
        <f>IF(OR($A$6="",$A$6=0),"",B20/$A$6)</f>
        <v>0.09</v>
      </c>
    </row>
    <row r="21">
      <c r="A21" s="3" t="inlineStr">
        <is>
          <t>蓝图网络</t>
        </is>
      </c>
      <c r="B21" s="2">
        <f>COUNTIF(参会名单!$C$2:$C$201,$A21)</f>
        <v>18.0</v>
      </c>
      <c r="C21" s="2">
        <f>COUNTIFS(参会名单!$C$2:$C$201,$A21,'签到追踪表'!$E$2:$E$201,"已签到")</f>
        <v>15.0</v>
      </c>
      <c r="D21" s="18">
        <f>IF(OR(B21="",B21=0),"",C21/B21)</f>
        <v>0.8333333333333334</v>
      </c>
      <c r="E21" s="18">
        <f>IF(OR($A$6="",$A$6=0),"",B21/$A$6)</f>
        <v>0.09</v>
      </c>
    </row>
    <row r="22">
      <c r="A22" s="3" t="inlineStr">
        <is>
          <t>智汇云</t>
        </is>
      </c>
      <c r="B22" s="2">
        <f>COUNTIF(参会名单!$C$2:$C$201,$A22)</f>
        <v>16.0</v>
      </c>
      <c r="C22" s="2">
        <f>COUNTIFS(参会名单!$C$2:$C$201,$A22,'签到追踪表'!$E$2:$E$201,"已签到")</f>
        <v>14.0</v>
      </c>
      <c r="D22" s="18">
        <f>IF(OR(B22="",B22=0),"",C22/B22)</f>
        <v>0.875</v>
      </c>
      <c r="E22" s="18">
        <f>IF(OR($A$6="",$A$6=0),"",B22/$A$6)</f>
        <v>0.08</v>
      </c>
    </row>
    <row r="23">
      <c r="A23" s="3" t="inlineStr">
        <is>
          <t>蜂巢科技</t>
        </is>
      </c>
      <c r="B23" s="2">
        <f>COUNTIF(参会名单!$C$2:$C$201,$A23)</f>
        <v>16.0</v>
      </c>
      <c r="C23" s="2">
        <f>COUNTIFS(参会名单!$C$2:$C$201,$A23,'签到追踪表'!$E$2:$E$201,"已签到")</f>
        <v>14.0</v>
      </c>
      <c r="D23" s="18">
        <f>IF(OR(B23="",B23=0),"",C23/B23)</f>
        <v>0.875</v>
      </c>
      <c r="E23" s="18">
        <f>IF(OR($A$6="",$A$6=0),"",B23/$A$6)</f>
        <v>0.08</v>
      </c>
    </row>
    <row r="24">
      <c r="A24" s="3" t="inlineStr">
        <is>
          <t>南粤科技大学</t>
        </is>
      </c>
      <c r="B24" s="2">
        <f>COUNTIF(参会名单!$C$2:$C$201,$A24)</f>
        <v>12.0</v>
      </c>
      <c r="C24" s="2">
        <f>COUNTIFS(参会名单!$C$2:$C$201,$A24,'签到追踪表'!$E$2:$E$201,"已签到")</f>
        <v>11.0</v>
      </c>
      <c r="D24" s="18">
        <f>IF(OR(B24="",B24=0),"",C24/B24)</f>
        <v>0.9166666666666666</v>
      </c>
      <c r="E24" s="18">
        <f>IF(OR($A$6="",$A$6=0),"",B24/$A$6)</f>
        <v>0.06</v>
      </c>
    </row>
    <row r="25">
      <c r="A25" s="3" t="inlineStr">
        <is>
          <t>湾区信息学院</t>
        </is>
      </c>
      <c r="B25" s="2">
        <f>COUNTIF(参会名单!$C$2:$C$201,$A25)</f>
        <v>10.0</v>
      </c>
      <c r="C25" s="2">
        <f>COUNTIFS(参会名单!$C$2:$C$201,$A25,'签到追踪表'!$E$2:$E$201,"已签到")</f>
        <v>7.0</v>
      </c>
      <c r="D25" s="18">
        <f>IF(OR(B25="",B25=0),"",C25/B25)</f>
        <v>0.7</v>
      </c>
      <c r="E25" s="18">
        <f>IF(OR($A$6="",$A$6=0),"",B25/$A$6)</f>
        <v>0.05</v>
      </c>
    </row>
    <row r="26">
      <c r="A26" s="3" t="inlineStr">
        <is>
          <t>光合数字</t>
        </is>
      </c>
      <c r="B26" s="2">
        <f>COUNTIF(参会名单!$C$2:$C$201,$A26)</f>
        <v>8.0</v>
      </c>
      <c r="C26" s="2">
        <f>COUNTIFS(参会名单!$C$2:$C$201,$A26,'签到追踪表'!$E$2:$E$201,"已签到")</f>
        <v>6.0</v>
      </c>
      <c r="D26" s="18">
        <f>IF(OR(B26="",B26=0),"",C26/B26)</f>
        <v>0.75</v>
      </c>
      <c r="E26" s="18">
        <f>IF(OR($A$6="",$A$6=0),"",B26/$A$6)</f>
        <v>0.04</v>
      </c>
    </row>
    <row r="27">
      <c r="A27" s="3" t="inlineStr">
        <is>
          <t>鹏城理工学院</t>
        </is>
      </c>
      <c r="B27" s="2">
        <f>COUNTIF(参会名单!$C$2:$C$201,$A27)</f>
        <v>8.0</v>
      </c>
      <c r="C27" s="2">
        <f>COUNTIFS(参会名单!$C$2:$C$201,$A27,'签到追踪表'!$E$2:$E$201,"已签到")</f>
        <v>6.0</v>
      </c>
      <c r="D27" s="18">
        <f>IF(OR(B27="",B27=0),"",C27/B27)</f>
        <v>0.75</v>
      </c>
      <c r="E27" s="18">
        <f>IF(OR($A$6="",$A$6=0),"",B27/$A$6)</f>
        <v>0.04</v>
      </c>
    </row>
    <row r="28">
      <c r="A28" s="3" t="inlineStr">
        <is>
          <t>南岭智联</t>
        </is>
      </c>
      <c r="B28" s="2">
        <f>COUNTIF(参会名单!$C$2:$C$201,$A28)</f>
        <v>7.0</v>
      </c>
      <c r="C28" s="2">
        <f>COUNTIFS(参会名单!$C$2:$C$201,$A28,'签到追踪表'!$E$2:$E$201,"已签到")</f>
        <v>5.0</v>
      </c>
      <c r="D28" s="18">
        <f>IF(OR(B28="",B28=0),"",C28/B28)</f>
        <v>0.7142857142857143</v>
      </c>
      <c r="E28" s="18">
        <f>IF(OR($A$6="",$A$6=0),"",B28/$A$6)</f>
        <v>0.035</v>
      </c>
    </row>
    <row r="29">
      <c r="A29" s="3" t="inlineStr">
        <is>
          <t>天工智能</t>
        </is>
      </c>
      <c r="B29" s="2">
        <f>COUNTIF(参会名单!$C$2:$C$201,$A29)</f>
        <v>7.0</v>
      </c>
      <c r="C29" s="2">
        <f>COUNTIFS(参会名单!$C$2:$C$201,$A29,'签到追踪表'!$E$2:$E$201,"已签到")</f>
        <v>7.0</v>
      </c>
      <c r="D29" s="18">
        <f>IF(OR(B29="",B29=0),"",C29/B29)</f>
        <v>1.0</v>
      </c>
      <c r="E29" s="18">
        <f>IF(OR($A$6="",$A$6=0),"",B29/$A$6)</f>
        <v>0.035</v>
      </c>
    </row>
    <row r="30">
      <c r="A30" s="21" t="inlineStr">
        <is>
          <t>小计（Top 12）</t>
        </is>
      </c>
      <c r="B30" s="19">
        <f>SUM(B18:B29)</f>
        <v>160.0</v>
      </c>
      <c r="C30" s="19">
        <f>SUM(C18:C29)</f>
        <v>137.0</v>
      </c>
      <c r="D30" s="20">
        <f>IF(OR(B30="",B30=0),"",C30/B30)</f>
        <v>0.85625</v>
      </c>
      <c r="E30" s="20">
        <f>SUM(E18:E29)</f>
        <v>0.8000000000000002</v>
      </c>
    </row>
    <row r="32" ht="22" customHeight="1">
      <c r="A32" s="12" t="inlineStr">
        <is>
          <t>四、餐食偏好（按报名人数，供餐饮备货）</t>
        </is>
      </c>
      <c r="B32" s="13" t="n"/>
      <c r="C32" s="13" t="n"/>
      <c r="D32" s="13" t="n"/>
      <c r="E32" s="13" t="n"/>
      <c r="F32" s="13" t="n"/>
      <c r="G32" s="13" t="n"/>
      <c r="H32" s="13" t="n"/>
    </row>
    <row r="33" ht="26" customHeight="1">
      <c r="A33" s="1" t="inlineStr">
        <is>
          <t>餐食类型</t>
        </is>
      </c>
      <c r="B33" s="1" t="inlineStr">
        <is>
          <t>人数</t>
        </is>
      </c>
      <c r="C33" s="1" t="inlineStr">
        <is>
          <t>占比</t>
        </is>
      </c>
    </row>
    <row r="34">
      <c r="A34" s="2" t="inlineStr">
        <is>
          <t>标准</t>
        </is>
      </c>
      <c r="B34" s="2">
        <f>COUNTIF(参会名单!$H$2:$H$201,$A34)</f>
        <v>128.0</v>
      </c>
      <c r="C34" s="18">
        <f>IF(OR($B$38="",$B$38=0),"",B34/$B$38)</f>
        <v>0.64</v>
      </c>
    </row>
    <row r="35">
      <c r="A35" s="2" t="inlineStr">
        <is>
          <t>素食</t>
        </is>
      </c>
      <c r="B35" s="2">
        <f>COUNTIF(参会名单!$H$2:$H$201,$A35)</f>
        <v>36.0</v>
      </c>
      <c r="C35" s="18">
        <f>IF(OR($B$38="",$B$38=0),"",B35/$B$38)</f>
        <v>0.18</v>
      </c>
    </row>
    <row r="36">
      <c r="A36" s="2" t="inlineStr">
        <is>
          <t>清真</t>
        </is>
      </c>
      <c r="B36" s="2">
        <f>COUNTIF(参会名单!$H$2:$H$201,$A36)</f>
        <v>24.0</v>
      </c>
      <c r="C36" s="18">
        <f>IF(OR($B$38="",$B$38=0),"",B36/$B$38)</f>
        <v>0.12</v>
      </c>
    </row>
    <row r="37">
      <c r="A37" s="2" t="inlineStr">
        <is>
          <t>无麸质</t>
        </is>
      </c>
      <c r="B37" s="2">
        <f>COUNTIF(参会名单!$H$2:$H$201,$A37)</f>
        <v>12.0</v>
      </c>
      <c r="C37" s="18">
        <f>IF(OR($B$38="",$B$38=0),"",B37/$B$38)</f>
        <v>0.06</v>
      </c>
    </row>
    <row r="38">
      <c r="A38" s="19" t="inlineStr">
        <is>
          <t>合计</t>
        </is>
      </c>
      <c r="B38" s="19">
        <f>SUM(B34:B37)</f>
        <v>200.0</v>
      </c>
      <c r="C38" s="20">
        <f>SUM(C34:C37)</f>
        <v>1.0</v>
      </c>
    </row>
    <row r="40" ht="22" customHeight="1">
      <c r="A40" s="12" t="inlineStr">
        <is>
          <t>五、T恤尺码（按报名人数，供服装制版）</t>
        </is>
      </c>
      <c r="B40" s="13" t="n"/>
      <c r="C40" s="13" t="n"/>
      <c r="D40" s="13" t="n"/>
      <c r="E40" s="13" t="n"/>
      <c r="F40" s="13" t="n"/>
      <c r="G40" s="13" t="n"/>
      <c r="H40" s="13" t="n"/>
    </row>
    <row r="41" ht="26" customHeight="1">
      <c r="A41" s="1" t="inlineStr">
        <is>
          <t>尺码</t>
        </is>
      </c>
      <c r="B41" s="1" t="inlineStr">
        <is>
          <t>数量</t>
        </is>
      </c>
      <c r="C41" s="1" t="inlineStr">
        <is>
          <t>占比</t>
        </is>
      </c>
    </row>
    <row r="42">
      <c r="A42" s="2" t="inlineStr">
        <is>
          <t>S</t>
        </is>
      </c>
      <c r="B42" s="2">
        <f>COUNTIF(参会名单!$I$2:$I$201,$A42)</f>
        <v>20.0</v>
      </c>
      <c r="C42" s="18">
        <f>IF(OR($B$47="",$B$47=0),"",B42/$B$47)</f>
        <v>0.1</v>
      </c>
    </row>
    <row r="43">
      <c r="A43" s="2" t="inlineStr">
        <is>
          <t>M</t>
        </is>
      </c>
      <c r="B43" s="2">
        <f>COUNTIF(参会名单!$I$2:$I$201,$A43)</f>
        <v>70.0</v>
      </c>
      <c r="C43" s="18">
        <f>IF(OR($B$47="",$B$47=0),"",B43/$B$47)</f>
        <v>0.35</v>
      </c>
    </row>
    <row r="44">
      <c r="A44" s="2" t="inlineStr">
        <is>
          <t>L</t>
        </is>
      </c>
      <c r="B44" s="2">
        <f>COUNTIF(参会名单!$I$2:$I$201,$A44)</f>
        <v>80.0</v>
      </c>
      <c r="C44" s="18">
        <f>IF(OR($B$47="",$B$47=0),"",B44/$B$47)</f>
        <v>0.4</v>
      </c>
    </row>
    <row r="45">
      <c r="A45" s="2" t="inlineStr">
        <is>
          <t>XL</t>
        </is>
      </c>
      <c r="B45" s="2">
        <f>COUNTIF(参会名单!$I$2:$I$201,$A45)</f>
        <v>26.0</v>
      </c>
      <c r="C45" s="18">
        <f>IF(OR($B$47="",$B$47=0),"",B45/$B$47)</f>
        <v>0.13</v>
      </c>
    </row>
    <row r="46">
      <c r="A46" s="2" t="inlineStr">
        <is>
          <t>XXL</t>
        </is>
      </c>
      <c r="B46" s="2">
        <f>COUNTIF(参会名单!$I$2:$I$201,$A46)</f>
        <v>4.0</v>
      </c>
      <c r="C46" s="18">
        <f>IF(OR($B$47="",$B$47=0),"",B46/$B$47)</f>
        <v>0.02</v>
      </c>
    </row>
    <row r="47">
      <c r="A47" s="19" t="inlineStr">
        <is>
          <t>合计</t>
        </is>
      </c>
      <c r="B47" s="19">
        <f>SUM(B42:B46)</f>
        <v>200.0</v>
      </c>
      <c r="C47" s="20">
        <f>SUM(C42:C46)</f>
        <v>1.0</v>
      </c>
    </row>
  </sheetData>
  <mergeCells count="15">
    <mergeCell ref="A4:H4"/>
    <mergeCell ref="E6:F6"/>
    <mergeCell ref="C6:D6"/>
    <mergeCell ref="A2:H2"/>
    <mergeCell ref="A16:H16"/>
    <mergeCell ref="C5:D5"/>
    <mergeCell ref="A5:B5"/>
    <mergeCell ref="G5:H5"/>
    <mergeCell ref="E5:F5"/>
    <mergeCell ref="G6:H6"/>
    <mergeCell ref="A1:H1"/>
    <mergeCell ref="A32:H32"/>
    <mergeCell ref="A8:H8"/>
    <mergeCell ref="A6:B6"/>
    <mergeCell ref="A40:H40"/>
  </mergeCells>
  <pageMargins left="0.75" right="0.75" top="1" bottom="1" header="0.5" footer="0.5"/>
  <pageSetup orientation="landscape" fitToHeight="0" fitToWidth="1"/>
  <drawing r:id="rId1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 fitToPage="1"/>
  </sheetPr>
  <dimension ref="A1:J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20" customWidth="1" min="4" max="4"/>
    <col width="11" customWidth="1" min="5" max="5"/>
    <col width="10" customWidth="1" min="6" max="6"/>
    <col width="9" customWidth="1" min="7" max="7"/>
    <col width="10" customWidth="1" min="8" max="8"/>
    <col width="11" customWidth="1" min="9" max="9"/>
    <col width="34" customWidth="1" min="10" max="10"/>
  </cols>
  <sheetData>
    <row r="1" ht="24" customHeight="1">
      <c r="A1" s="1" t="inlineStr">
        <is>
          <t>序号</t>
        </is>
      </c>
      <c r="B1" s="1" t="inlineStr">
        <is>
          <t>物资名称</t>
        </is>
      </c>
      <c r="C1" s="1" t="inlineStr">
        <is>
          <t>类别</t>
        </is>
      </c>
      <c r="D1" s="1" t="inlineStr">
        <is>
          <t>规格</t>
        </is>
      </c>
      <c r="E1" s="1" t="inlineStr">
        <is>
          <t>需求数量</t>
        </is>
      </c>
      <c r="F1" s="1" t="inlineStr">
        <is>
          <t>已准备</t>
        </is>
      </c>
      <c r="G1" s="1" t="inlineStr">
        <is>
          <t>差额</t>
        </is>
      </c>
      <c r="H1" s="1" t="inlineStr">
        <is>
          <t>状态</t>
        </is>
      </c>
      <c r="I1" s="1" t="inlineStr">
        <is>
          <t>负责人</t>
        </is>
      </c>
      <c r="J1" s="1" t="inlineStr">
        <is>
          <t>备注</t>
        </is>
      </c>
    </row>
    <row r="2">
      <c r="A2" s="5" t="n">
        <v>1</v>
      </c>
      <c r="B2" s="9" t="inlineStr">
        <is>
          <t>胸牌 + 挂绳</t>
        </is>
      </c>
      <c r="C2" s="5" t="inlineStr">
        <is>
          <t>物料</t>
        </is>
      </c>
      <c r="D2" s="9" t="inlineStr">
        <is>
          <t>标准 90×130mm</t>
        </is>
      </c>
      <c r="E2" s="5">
        <f>数据统计!$A$6</f>
        <v>200.0</v>
      </c>
      <c r="F2" s="5" t="n">
        <v>210</v>
      </c>
      <c r="G2" s="5">
        <f>F2-E2</f>
        <v>10.0</v>
      </c>
      <c r="H2" s="5" t="str">
        <f>IF(G2&lt;0,"待补货",IF(G2=0,"已就绪","充足"))</f>
        <v>充足</v>
      </c>
      <c r="I2" s="5" t="inlineStr">
        <is>
          <t>行政组</t>
        </is>
      </c>
      <c r="J2" s="9" t="inlineStr">
        <is>
          <t>按报名人数备货，含 5% 冗余</t>
        </is>
      </c>
    </row>
    <row r="3">
      <c r="A3" s="5" t="n">
        <v>2</v>
      </c>
      <c r="B3" s="9" t="inlineStr">
        <is>
          <t>手提袋</t>
        </is>
      </c>
      <c r="C3" s="5" t="inlineStr">
        <is>
          <t>物料</t>
        </is>
      </c>
      <c r="D3" s="9" t="inlineStr">
        <is>
          <t>帆布</t>
        </is>
      </c>
      <c r="E3" s="5">
        <f>数据统计!$A$6</f>
        <v>200.0</v>
      </c>
      <c r="F3" s="5" t="n">
        <v>180</v>
      </c>
      <c r="G3" s="5">
        <f>F3-E3</f>
        <v>-20.0</v>
      </c>
      <c r="H3" s="5" t="str">
        <f>IF(G3&lt;0,"待补货",IF(G3=0,"已就绪","充足"))</f>
        <v>待补货</v>
      </c>
      <c r="I3" s="5" t="inlineStr">
        <is>
          <t>行政组</t>
        </is>
      </c>
      <c r="J3" s="9" t="inlineStr">
        <is>
          <t>供应商延期，需补货</t>
        </is>
      </c>
    </row>
    <row r="4">
      <c r="A4" s="5" t="n">
        <v>3</v>
      </c>
      <c r="B4" s="9" t="inlineStr">
        <is>
          <t>会议手册</t>
        </is>
      </c>
      <c r="C4" s="5" t="inlineStr">
        <is>
          <t>资料</t>
        </is>
      </c>
      <c r="D4" s="9" t="inlineStr">
        <is>
          <t>A5 骑马钉 32P</t>
        </is>
      </c>
      <c r="E4" s="5">
        <f>数据统计!$A$6</f>
        <v>200.0</v>
      </c>
      <c r="F4" s="5" t="n">
        <v>200</v>
      </c>
      <c r="G4" s="5">
        <f>F4-E4</f>
        <v>0.0</v>
      </c>
      <c r="H4" s="5" t="str">
        <f>IF(G4&lt;0,"待补货",IF(G4=0,"已就绪","充足"))</f>
        <v>已就绪</v>
      </c>
      <c r="I4" s="5" t="inlineStr">
        <is>
          <t>内容组</t>
        </is>
      </c>
      <c r="J4" s="9" t="inlineStr"/>
    </row>
    <row r="5">
      <c r="A5" s="5" t="n">
        <v>4</v>
      </c>
      <c r="B5" s="9" t="inlineStr">
        <is>
          <t>伴手礼</t>
        </is>
      </c>
      <c r="C5" s="5" t="inlineStr">
        <is>
          <t>礼品</t>
        </is>
      </c>
      <c r="D5" s="9" t="inlineStr">
        <is>
          <t>定制保温杯</t>
        </is>
      </c>
      <c r="E5" s="5">
        <f>数据统计!$C$6</f>
        <v>166.0</v>
      </c>
      <c r="F5" s="5" t="n">
        <v>170</v>
      </c>
      <c r="G5" s="5">
        <f>F5-E5</f>
        <v>4.0</v>
      </c>
      <c r="H5" s="5" t="str">
        <f>IF(G5&lt;0,"待补货",IF(G5=0,"已就绪","充足"))</f>
        <v>充足</v>
      </c>
      <c r="I5" s="5" t="inlineStr">
        <is>
          <t>市场组</t>
        </is>
      </c>
      <c r="J5" s="9" t="inlineStr">
        <is>
          <t>按已签到人数发放</t>
        </is>
      </c>
    </row>
    <row r="6">
      <c r="A6" s="5" t="n">
        <v>5</v>
      </c>
      <c r="B6" s="9" t="inlineStr">
        <is>
          <t>午餐券-标准</t>
        </is>
      </c>
      <c r="C6" s="5" t="inlineStr">
        <is>
          <t>餐饮</t>
        </is>
      </c>
      <c r="D6" s="9" t="inlineStr">
        <is>
          <t>标准餐</t>
        </is>
      </c>
      <c r="E6" s="5">
        <f>数据统计!$B$34</f>
        <v>128.0</v>
      </c>
      <c r="F6" s="5" t="n">
        <v>128</v>
      </c>
      <c r="G6" s="5">
        <f>F6-E6</f>
        <v>0.0</v>
      </c>
      <c r="H6" s="5" t="str">
        <f>IF(G6&lt;0,"待补货",IF(G6=0,"已就绪","充足"))</f>
        <v>已就绪</v>
      </c>
      <c r="I6" s="5" t="inlineStr">
        <is>
          <t>餐饮组</t>
        </is>
      </c>
      <c r="J6" s="9" t="inlineStr"/>
    </row>
    <row r="7">
      <c r="A7" s="5" t="n">
        <v>6</v>
      </c>
      <c r="B7" s="9" t="inlineStr">
        <is>
          <t>午餐券-素食</t>
        </is>
      </c>
      <c r="C7" s="5" t="inlineStr">
        <is>
          <t>餐饮</t>
        </is>
      </c>
      <c r="D7" s="9" t="inlineStr">
        <is>
          <t>素食餐</t>
        </is>
      </c>
      <c r="E7" s="5">
        <f>数据统计!$B$35</f>
        <v>36.0</v>
      </c>
      <c r="F7" s="5" t="n">
        <v>36</v>
      </c>
      <c r="G7" s="5">
        <f>F7-E7</f>
        <v>0.0</v>
      </c>
      <c r="H7" s="5" t="str">
        <f>IF(G7&lt;0,"待补货",IF(G7=0,"已就绪","充足"))</f>
        <v>已就绪</v>
      </c>
      <c r="I7" s="5" t="inlineStr">
        <is>
          <t>餐饮组</t>
        </is>
      </c>
      <c r="J7" s="9" t="inlineStr"/>
    </row>
    <row r="8">
      <c r="A8" s="5" t="n">
        <v>7</v>
      </c>
      <c r="B8" s="9" t="inlineStr">
        <is>
          <t>午餐券-清真</t>
        </is>
      </c>
      <c r="C8" s="5" t="inlineStr">
        <is>
          <t>餐饮</t>
        </is>
      </c>
      <c r="D8" s="9" t="inlineStr">
        <is>
          <t>清真餐</t>
        </is>
      </c>
      <c r="E8" s="5">
        <f>数据统计!$B$36</f>
        <v>24.0</v>
      </c>
      <c r="F8" s="5" t="n">
        <v>20</v>
      </c>
      <c r="G8" s="5">
        <f>F8-E8</f>
        <v>-4.0</v>
      </c>
      <c r="H8" s="5" t="str">
        <f>IF(G8&lt;0,"待补货",IF(G8=0,"已就绪","充足"))</f>
        <v>待补货</v>
      </c>
      <c r="I8" s="5" t="inlineStr">
        <is>
          <t>餐饮组</t>
        </is>
      </c>
      <c r="J8" s="9" t="inlineStr">
        <is>
          <t>缺口 4 份，供应商确认中</t>
        </is>
      </c>
    </row>
    <row r="9">
      <c r="A9" s="5" t="n">
        <v>8</v>
      </c>
      <c r="B9" s="9" t="inlineStr">
        <is>
          <t>午餐券-无麸质</t>
        </is>
      </c>
      <c r="C9" s="5" t="inlineStr">
        <is>
          <t>餐饮</t>
        </is>
      </c>
      <c r="D9" s="9" t="inlineStr">
        <is>
          <t>无麸质餐</t>
        </is>
      </c>
      <c r="E9" s="5">
        <f>数据统计!$B$37</f>
        <v>12.0</v>
      </c>
      <c r="F9" s="5" t="n">
        <v>12</v>
      </c>
      <c r="G9" s="5">
        <f>F9-E9</f>
        <v>0.0</v>
      </c>
      <c r="H9" s="5" t="str">
        <f>IF(G9&lt;0,"待补货",IF(G9=0,"已就绪","充足"))</f>
        <v>已就绪</v>
      </c>
      <c r="I9" s="5" t="inlineStr">
        <is>
          <t>餐饮组</t>
        </is>
      </c>
      <c r="J9" s="9" t="inlineStr"/>
    </row>
    <row r="10">
      <c r="A10" s="5" t="n">
        <v>9</v>
      </c>
      <c r="B10" s="9" t="inlineStr">
        <is>
          <t>T恤-S</t>
        </is>
      </c>
      <c r="C10" s="5" t="inlineStr">
        <is>
          <t>服装</t>
        </is>
      </c>
      <c r="D10" s="9" t="inlineStr">
        <is>
          <t>纯棉 180g</t>
        </is>
      </c>
      <c r="E10" s="5">
        <f>数据统计!$B$42</f>
        <v>20.0</v>
      </c>
      <c r="F10" s="5" t="n">
        <v>20</v>
      </c>
      <c r="G10" s="5">
        <f>F10-E10</f>
        <v>0.0</v>
      </c>
      <c r="H10" s="5" t="str">
        <f>IF(G10&lt;0,"待补货",IF(G10=0,"已就绪","充足"))</f>
        <v>已就绪</v>
      </c>
      <c r="I10" s="5" t="inlineStr">
        <is>
          <t>行政组</t>
        </is>
      </c>
      <c r="J10" s="9" t="inlineStr"/>
    </row>
    <row r="11">
      <c r="A11" s="5" t="n">
        <v>10</v>
      </c>
      <c r="B11" s="9" t="inlineStr">
        <is>
          <t>T恤-M</t>
        </is>
      </c>
      <c r="C11" s="5" t="inlineStr">
        <is>
          <t>服装</t>
        </is>
      </c>
      <c r="D11" s="9" t="inlineStr">
        <is>
          <t>纯棉 180g</t>
        </is>
      </c>
      <c r="E11" s="5">
        <f>数据统计!$B$43</f>
        <v>70.0</v>
      </c>
      <c r="F11" s="5" t="n">
        <v>70</v>
      </c>
      <c r="G11" s="5">
        <f>F11-E11</f>
        <v>0.0</v>
      </c>
      <c r="H11" s="5" t="str">
        <f>IF(G11&lt;0,"待补货",IF(G11=0,"已就绪","充足"))</f>
        <v>已就绪</v>
      </c>
      <c r="I11" s="5" t="inlineStr">
        <is>
          <t>行政组</t>
        </is>
      </c>
      <c r="J11" s="9" t="inlineStr"/>
    </row>
    <row r="12">
      <c r="A12" s="5" t="n">
        <v>11</v>
      </c>
      <c r="B12" s="9" t="inlineStr">
        <is>
          <t>T恤-L</t>
        </is>
      </c>
      <c r="C12" s="5" t="inlineStr">
        <is>
          <t>服装</t>
        </is>
      </c>
      <c r="D12" s="9" t="inlineStr">
        <is>
          <t>纯棉 180g</t>
        </is>
      </c>
      <c r="E12" s="5">
        <f>数据统计!$B$44</f>
        <v>80.0</v>
      </c>
      <c r="F12" s="5" t="n">
        <v>72</v>
      </c>
      <c r="G12" s="5">
        <f>F12-E12</f>
        <v>-8.0</v>
      </c>
      <c r="H12" s="5" t="str">
        <f>IF(G12&lt;0,"待补货",IF(G12=0,"已就绪","充足"))</f>
        <v>待补货</v>
      </c>
      <c r="I12" s="5" t="inlineStr">
        <is>
          <t>行政组</t>
        </is>
      </c>
      <c r="J12" s="9" t="inlineStr">
        <is>
          <t>L 码偏紧，需补 8 件</t>
        </is>
      </c>
    </row>
    <row r="13">
      <c r="A13" s="5" t="n">
        <v>12</v>
      </c>
      <c r="B13" s="9" t="inlineStr">
        <is>
          <t>T恤-XL</t>
        </is>
      </c>
      <c r="C13" s="5" t="inlineStr">
        <is>
          <t>服装</t>
        </is>
      </c>
      <c r="D13" s="9" t="inlineStr">
        <is>
          <t>纯棉 180g</t>
        </is>
      </c>
      <c r="E13" s="5">
        <f>数据统计!$B$45</f>
        <v>26.0</v>
      </c>
      <c r="F13" s="5" t="n">
        <v>26</v>
      </c>
      <c r="G13" s="5">
        <f>F13-E13</f>
        <v>0.0</v>
      </c>
      <c r="H13" s="5" t="str">
        <f>IF(G13&lt;0,"待补货",IF(G13=0,"已就绪","充足"))</f>
        <v>已就绪</v>
      </c>
      <c r="I13" s="5" t="inlineStr">
        <is>
          <t>行政组</t>
        </is>
      </c>
      <c r="J13" s="9" t="inlineStr"/>
    </row>
    <row r="14">
      <c r="A14" s="5" t="n">
        <v>13</v>
      </c>
      <c r="B14" s="9" t="inlineStr">
        <is>
          <t>T恤-XXL</t>
        </is>
      </c>
      <c r="C14" s="5" t="inlineStr">
        <is>
          <t>服装</t>
        </is>
      </c>
      <c r="D14" s="9" t="inlineStr">
        <is>
          <t>纯棉 180g</t>
        </is>
      </c>
      <c r="E14" s="5">
        <f>数据统计!$B$46</f>
        <v>4.0</v>
      </c>
      <c r="F14" s="5" t="n">
        <v>6</v>
      </c>
      <c r="G14" s="5">
        <f>F14-E14</f>
        <v>2.0</v>
      </c>
      <c r="H14" s="5" t="str">
        <f>IF(G14&lt;0,"待补货",IF(G14=0,"已就绪","充足"))</f>
        <v>充足</v>
      </c>
      <c r="I14" s="5" t="inlineStr">
        <is>
          <t>行政组</t>
        </is>
      </c>
      <c r="J14" s="9" t="inlineStr"/>
    </row>
    <row r="15">
      <c r="A15" s="5" t="n">
        <v>14</v>
      </c>
      <c r="B15" s="9" t="inlineStr">
        <is>
          <t>矿泉水</t>
        </is>
      </c>
      <c r="C15" s="5" t="inlineStr">
        <is>
          <t>餐饮</t>
        </is>
      </c>
      <c r="D15" s="9" t="inlineStr">
        <is>
          <t>550ml × 24 瓶/箱</t>
        </is>
      </c>
      <c r="E15" s="5">
        <f>ROUNDUP(数据统计!$A$6*2/24,0)</f>
        <v>17.0</v>
      </c>
      <c r="F15" s="5" t="n">
        <v>17</v>
      </c>
      <c r="G15" s="5">
        <f>F15-E15</f>
        <v>0.0</v>
      </c>
      <c r="H15" s="5" t="str">
        <f>IF(G15&lt;0,"待补货",IF(G15=0,"已就绪","充足"))</f>
        <v>已就绪</v>
      </c>
      <c r="I15" s="5" t="inlineStr">
        <is>
          <t>行政组</t>
        </is>
      </c>
      <c r="J15" s="9" t="inlineStr">
        <is>
          <t>按人均 2 瓶折算箱数</t>
        </is>
      </c>
    </row>
    <row r="16">
      <c r="A16" s="5" t="n">
        <v>15</v>
      </c>
      <c r="B16" s="9" t="inlineStr">
        <is>
          <t>签到设备</t>
        </is>
      </c>
      <c r="C16" s="5" t="inlineStr">
        <is>
          <t>设备</t>
        </is>
      </c>
      <c r="D16" s="9" t="inlineStr">
        <is>
          <t>扫码枪 + 平板</t>
        </is>
      </c>
      <c r="E16" s="5" t="n">
        <v>6</v>
      </c>
      <c r="F16" s="5" t="n">
        <v>8</v>
      </c>
      <c r="G16" s="5">
        <f>F16-E16</f>
        <v>2.0</v>
      </c>
      <c r="H16" s="5" t="str">
        <f>IF(G16&lt;0,"待补货",IF(G16=0,"已就绪","充足"))</f>
        <v>充足</v>
      </c>
      <c r="I16" s="5" t="inlineStr">
        <is>
          <t>技术组</t>
        </is>
      </c>
      <c r="J16" s="9" t="inlineStr">
        <is>
          <t>含 2 台备用</t>
        </is>
      </c>
    </row>
  </sheetData>
  <autoFilter ref="A1:J16"/>
  <conditionalFormatting sqref="G2:G16">
    <cfRule type="cellIs" priority="1" operator="lessThan" dxfId="1">
      <formula>0</formula>
    </cfRule>
  </conditionalFormatting>
  <conditionalFormatting sqref="H2:H16">
    <cfRule type="cellIs" priority="2" operator="equal" dxfId="3">
      <formula>"待补货"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TechVision 2026 组委会</dc:creator>
  <dc:title xmlns:dc="http://purl.org/dc/elements/1.1/">TechVision 2026 全球开发者峰会 · 活动签到管理表</dc:title>
  <dcterms:created xmlns:dcterms="http://purl.org/dc/terms/" xmlns:xsi="http://www.w3.org/2001/XMLSchema-instance" xsi:type="dcterms:W3CDTF">2026-10-20T16:06:16Z</dcterms:created>
  <dcterms:modified xmlns:dcterms="http://purl.org/dc/terms/" xmlns:xsi="http://www.w3.org/2001/XMLSchema-instance" xsi:type="dcterms:W3CDTF">2026-10-20T16:06:17Z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{"Label":"1","ContentProducer":"00119111010856365494821B355","ProduceID":"32d855a8bdab450eaa485e5ee7a34202","ContentPropagator":"00119111010856365494821B355","PropagateID":"32d855a8bdab450eaa485e5ee7a34202"}</vt:lpwstr>
  </property>
</Properties>
</file>